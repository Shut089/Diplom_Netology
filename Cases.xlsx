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a6615d8d2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66eae286127a45c7"/>
    <x:sheet xmlns:r="http://schemas.openxmlformats.org/officeDocument/2006/relationships" name="Сводка" sheetId="2" r:id="R615077a73498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F3F4F6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a76ce220046b9" /><Relationship Type="http://schemas.openxmlformats.org/officeDocument/2006/relationships/theme" Target="/xl/theme/theme1.xml" Id="Rd6ab0a9ef3474a1d" /><Relationship Type="http://schemas.openxmlformats.org/officeDocument/2006/relationships/sharedStrings" Target="/xl/sharedStrings.xml" Id="Rc96e8ede03324d64" /><Relationship Type="http://schemas.openxmlformats.org/officeDocument/2006/relationships/worksheet" Target="/xl/worksheets/sheet1.xml" Id="R66eae286127a45c7" /><Relationship Type="http://schemas.openxmlformats.org/officeDocument/2006/relationships/worksheet" Target="/xl/worksheets/sheet2.xml" Id="R615077a7349849f0" /></Relationships>
</file>

<file path=xl/tables/table1.xml><?xml version="1.0" encoding="utf-8"?>
<x:table xmlns:x="http://schemas.openxmlformats.org/spreadsheetml/2006/main" id="1" name="CasesTable" displayName="CasesTable" ref="A1:K49" headerRowCount="1" totalsRowCount="0" totalsRowShown="0">
  <x:tableColumns count="11">
    <x:tableColumn id="1" name="ID"/>
    <x:tableColumn id="2" name="Раздел"/>
    <x:tableColumn id="3" name="Название тест-кейса"/>
    <x:tableColumn id="4" name="Предусловия"/>
    <x:tableColumn id="5" name="Шаги"/>
    <x:tableColumn id="6" name="Ожидаемый результат"/>
    <x:tableColumn id="7" name="Тип"/>
    <x:tableColumn id="8" name="Приоритет"/>
    <x:tableColumn id="9" name="Автоматизация"/>
    <x:tableColumn id="10" name="Причина, если не автоматизируется"/>
    <x:tableColumn id="11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44d79407649c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4" hidden="0" customWidth="1"/>
    <x:col min="4" max="4" width="36" hidden="0" customWidth="1"/>
    <x:col min="5" max="5" width="48" hidden="0" customWidth="1"/>
    <x:col min="6" max="6" width="44" hidden="0" customWidth="1"/>
    <x:col min="7" max="7" width="14" hidden="0" customWidth="1"/>
    <x:col min="8" max="8" width="14" hidden="0" customWidth="1"/>
    <x:col min="9" max="9" width="18" hidden="0" customWidth="1"/>
    <x:col min="10" max="10" width="42" hidden="0" customWidth="1"/>
    <x:col min="11" max="11" width="16" hidden="0" customWidth="1"/>
    <x:col min="12" max="12" width="28" hidden="0" customWidth="1"/>
  </x:cols>
  <x:sheetData>
    <x:row r="1" ht="36" customHeight="1">
      <x:c r="A1" s="6" t="str">
        <x:v>ID</x:v>
      </x:c>
      <x:c r="B1" s="6" t="str">
        <x:v>Раздел</x:v>
      </x:c>
      <x:c r="C1" s="6" t="str">
        <x:v>Название тест-кейса</x:v>
      </x:c>
      <x:c r="D1" s="6" t="str">
        <x:v>Предусловия</x:v>
      </x:c>
      <x:c r="E1" s="6" t="str">
        <x:v>Шаги</x:v>
      </x:c>
      <x:c r="F1" s="6" t="str">
        <x:v>Ожидаемый результат</x:v>
      </x:c>
      <x:c r="G1" s="6" t="str">
        <x:v>Тип</x:v>
      </x:c>
      <x:c r="H1" s="6" t="str">
        <x:v>Приоритет</x:v>
      </x:c>
      <x:c r="I1" s="6" t="str">
        <x:v>Автоматизация</x:v>
      </x:c>
      <x:c r="J1" s="6" t="str">
        <x:v>Причина, если не автоматизируется</x:v>
      </x:c>
      <x:c r="K1" s="6" t="str">
        <x:v>Статус</x:v>
      </x:c>
      <x:c r="L1" s="27" t="str">
        <x:v>ID проверки чек-листа</x:v>
      </x:c>
    </x:row>
    <x:row r="2" ht="72" customHeight="1">
      <x:c r="A2" s="14" t="str">
        <x:v>TC-001</x:v>
      </x:c>
      <x:c r="B2" s="14" t="str">
        <x:v>Авторизация</x:v>
      </x:c>
      <x:c r="C2" s="14" t="str">
        <x:v>Успешная авторизация с корректными данными</x:v>
      </x:c>
      <x:c r="D2" s="14" t="str">
        <x:v>Приложение установлено. Пользователь находится на экране Authorization.</x:v>
      </x:c>
      <x:c r="E2" s="14" t="str">
        <x:v>1. Ввести login2 в поле Login.
2. Ввести password2 в поле Password.
3. Нажать SIGN IN.</x:v>
      </x:c>
      <x:c r="F2" s="14" t="str">
        <x:v>Авторизация успешна. Открывается главный экран приложения.</x:v>
      </x:c>
      <x:c r="G2" s="14" t="str">
        <x:v>Позитивный</x:v>
      </x:c>
      <x:c r="H2" s="14" t="str">
        <x:v>Высокий</x:v>
      </x:c>
      <x:c r="I2" s="14" t="str">
        <x:v>Планируется</x:v>
      </x:c>
      <x:c r="J2" s="14" t="str"/>
      <x:c r="K2" s="14" t="str">
        <x:v>Не выполнен</x:v>
      </x:c>
      <x:c r="L2" s="14" t="str">
        <x:v>AUTH-001</x:v>
      </x:c>
    </x:row>
    <x:row r="3" ht="72" customHeight="1">
      <x:c r="A3" s="14" t="str">
        <x:v>TC-002</x:v>
      </x:c>
      <x:c r="B3" s="14" t="str">
        <x:v>Авторизация</x:v>
      </x:c>
      <x:c r="C3" s="14" t="str">
        <x:v>Авторизация с неверным логином</x:v>
      </x:c>
      <x:c r="D3" s="14" t="str">
        <x:v>Пользователь находится на экране Authorization.</x:v>
      </x:c>
      <x:c r="E3" s="14" t="str">
        <x:v>1. Ввести неверный логин.
2. Ввести password2.
3. Нажать SIGN IN.</x:v>
      </x:c>
      <x:c r="F3" s="14" t="str">
        <x:v>Авторизация не выполняется. Пользователь остается на экране авторизации, отображается сообщение об ошибке.</x:v>
      </x:c>
      <x:c r="G3" s="14" t="str">
        <x:v>Негативный</x:v>
      </x:c>
      <x:c r="H3" s="14" t="str">
        <x:v>Высокий</x:v>
      </x:c>
      <x:c r="I3" s="14" t="str">
        <x:v>Планируется</x:v>
      </x:c>
      <x:c r="J3" s="14" t="str"/>
      <x:c r="K3" s="14" t="str">
        <x:v>Не выполнен</x:v>
      </x:c>
      <x:c r="L3" s="14" t="str">
        <x:v>AUTH-002</x:v>
      </x:c>
    </x:row>
    <x:row r="4" ht="72" customHeight="1">
      <x:c r="A4" s="14" t="str">
        <x:v>TC-003</x:v>
      </x:c>
      <x:c r="B4" s="14" t="str">
        <x:v>Авторизация</x:v>
      </x:c>
      <x:c r="C4" s="14" t="str">
        <x:v>Авторизация с неверным паролем</x:v>
      </x:c>
      <x:c r="D4" s="14" t="str">
        <x:v>Пользователь находится на экране Authorization.</x:v>
      </x:c>
      <x:c r="E4" s="14" t="str">
        <x:v>1. Ввести login2.
2. Ввести неверный пароль.
3. Нажать SIGN IN.</x:v>
      </x:c>
      <x:c r="F4" s="14" t="str">
        <x:v>Авторизация не выполняется. Пользователь остается на экране авторизации, отображается сообщение об ошибке.</x:v>
      </x:c>
      <x:c r="G4" s="14" t="str">
        <x:v>Негативный</x:v>
      </x:c>
      <x:c r="H4" s="14" t="str">
        <x:v>Высокий</x:v>
      </x:c>
      <x:c r="I4" s="14" t="str">
        <x:v>Планируется</x:v>
      </x:c>
      <x:c r="J4" s="14" t="str"/>
      <x:c r="K4" s="14" t="str">
        <x:v>Не выполнен</x:v>
      </x:c>
      <x:c r="L4" s="14" t="str">
        <x:v>AUTH-003</x:v>
      </x:c>
    </x:row>
    <x:row r="5" ht="72" customHeight="1">
      <x:c r="A5" s="14" t="str">
        <x:v>TC-004</x:v>
      </x:c>
      <x:c r="B5" s="14" t="str">
        <x:v>Авторизация</x:v>
      </x:c>
      <x:c r="C5" s="14" t="str">
        <x:v>Авторизация с пустым логином</x:v>
      </x:c>
      <x:c r="D5" s="14" t="str">
        <x:v>Пользователь находится на экране Authorization.</x:v>
      </x:c>
      <x:c r="E5" s="14" t="str">
        <x:v>1. Поле Login оставить пустым.
2. Ввести password2.
3. Нажать SIGN IN.</x:v>
      </x:c>
      <x:c r="F5" s="14" t="str">
        <x:v>Вход не выполняется. Отображается предупреждение о необходимости заполнить поле.</x:v>
      </x:c>
      <x:c r="G5" s="14" t="str">
        <x:v>Негативный</x:v>
      </x:c>
      <x:c r="H5" s="14" t="str">
        <x:v>Средний</x:v>
      </x:c>
      <x:c r="I5" s="14" t="str">
        <x:v>Планируется</x:v>
      </x:c>
      <x:c r="J5" s="14" t="str"/>
      <x:c r="K5" s="14" t="str">
        <x:v>Не выполнен</x:v>
      </x:c>
      <x:c r="L5" s="14" t="str">
        <x:v>AUTH-005</x:v>
      </x:c>
    </x:row>
    <x:row r="6" ht="72" customHeight="1">
      <x:c r="A6" s="14" t="str">
        <x:v>TC-005</x:v>
      </x:c>
      <x:c r="B6" s="14" t="str">
        <x:v>Авторизация</x:v>
      </x:c>
      <x:c r="C6" s="14" t="str">
        <x:v>Авторизация с пустым паролем</x:v>
      </x:c>
      <x:c r="D6" s="14" t="str">
        <x:v>Пользователь находится на экране Authorization.</x:v>
      </x:c>
      <x:c r="E6" s="14" t="str">
        <x:v>1. Ввести login2.
2. Поле Password оставить пустым.
3. Нажать SIGN IN.</x:v>
      </x:c>
      <x:c r="F6" s="14" t="str">
        <x:v>Вход не выполняется. Отображается предупреждение о необходимости заполнить поле.</x:v>
      </x:c>
      <x:c r="G6" s="14" t="str">
        <x:v>Негативный</x:v>
      </x:c>
      <x:c r="H6" s="14" t="str">
        <x:v>Средний</x:v>
      </x:c>
      <x:c r="I6" s="14" t="str">
        <x:v>Планируется</x:v>
      </x:c>
      <x:c r="J6" s="14" t="str"/>
      <x:c r="K6" s="14" t="str">
        <x:v>Не выполнен</x:v>
      </x:c>
      <x:c r="L6" s="14" t="str">
        <x:v>AUTH-006</x:v>
      </x:c>
    </x:row>
    <x:row r="7" ht="72" customHeight="1">
      <x:c r="A7" s="14" t="str">
        <x:v>TC-006</x:v>
      </x:c>
      <x:c r="B7" s="14" t="str">
        <x:v>Авторизация</x:v>
      </x:c>
      <x:c r="C7" s="14" t="str">
        <x:v>Авторизация с двумя пустыми полями</x:v>
      </x:c>
      <x:c r="D7" s="14" t="str">
        <x:v>Пользователь находится на экране Authorization.</x:v>
      </x:c>
      <x:c r="E7" s="14" t="str">
        <x:v>1. Оставить поля Login и Password пустыми.
2. Нажать SIGN IN.</x:v>
      </x:c>
      <x:c r="F7" s="14" t="str">
        <x:v>Вход не выполняется. Отображается предупреждение о необходимости заполнить поля.</x:v>
      </x:c>
      <x:c r="G7" s="14" t="str">
        <x:v>Негативный</x:v>
      </x:c>
      <x:c r="H7" s="14" t="str">
        <x:v>Средний</x:v>
      </x:c>
      <x:c r="I7" s="14" t="str">
        <x:v>Планируется</x:v>
      </x:c>
      <x:c r="J7" s="14" t="str"/>
      <x:c r="K7" s="14" t="str">
        <x:v>Не выполнен</x:v>
      </x:c>
      <x:c r="L7" s="14" t="str">
        <x:v>AUTH-007</x:v>
      </x:c>
    </x:row>
    <x:row r="8" ht="72" customHeight="1">
      <x:c r="A8" s="14" t="str">
        <x:v>TC-007</x:v>
      </x:c>
      <x:c r="B8" s="14" t="str">
        <x:v>Главный экран</x:v>
      </x:c>
      <x:c r="C8" s="14" t="str">
        <x:v>Открытие главного экрана после входа</x:v>
      </x:c>
      <x:c r="D8" s="14" t="str">
        <x:v>Пользователь авторизован.</x:v>
      </x:c>
      <x:c r="E8" s="14" t="str">
        <x:v>1. Выполнить вход с корректными данными.</x:v>
      </x:c>
      <x:c r="F8" s="14" t="str">
        <x:v>Отображается главный экран с верхним меню и блоком News.</x:v>
      </x:c>
      <x:c r="G8" s="14" t="str">
        <x:v>Позитивный</x:v>
      </x:c>
      <x:c r="H8" s="14" t="str">
        <x:v>Высокий</x:v>
      </x:c>
      <x:c r="I8" s="14" t="str">
        <x:v>Планируется</x:v>
      </x:c>
      <x:c r="J8" s="14" t="str"/>
      <x:c r="K8" s="14" t="str">
        <x:v>Пройден</x:v>
      </x:c>
      <x:c r="L8" s="14" t="str">
        <x:v>MAIN-001</x:v>
      </x:c>
    </x:row>
    <x:row r="9" ht="72" customHeight="1">
      <x:c r="A9" s="14" t="str">
        <x:v>TC-008</x:v>
      </x:c>
      <x:c r="B9" s="14" t="str">
        <x:v>Главный экран</x:v>
      </x:c>
      <x:c r="C9" s="14" t="str">
        <x:v>Отображение списка новостей на главном экране</x:v>
      </x:c>
      <x:c r="D9" s="14" t="str">
        <x:v>Пользователь авторизован и находится на главном экране.</x:v>
      </x:c>
      <x:c r="E9" s="14" t="str">
        <x:v>1. Проверить блок News.</x:v>
      </x:c>
      <x:c r="F9" s="14" t="str">
        <x:v>В блоке News отображаются карточки новостей, если новости доступны.</x:v>
      </x:c>
      <x:c r="G9" s="14" t="str">
        <x:v>Позитивный</x:v>
      </x:c>
      <x:c r="H9" s="14" t="str">
        <x:v>Средний</x:v>
      </x:c>
      <x:c r="I9" s="14" t="str">
        <x:v>Планируется</x:v>
      </x:c>
      <x:c r="J9" s="14" t="str"/>
      <x:c r="K9" s="14" t="str">
        <x:v>Пройден</x:v>
      </x:c>
      <x:c r="L9" s="14" t="str">
        <x:v>MAIN-003</x:v>
      </x:c>
    </x:row>
    <x:row r="10" ht="72" customHeight="1">
      <x:c r="A10" s="14" t="str">
        <x:v>TC-009</x:v>
      </x:c>
      <x:c r="B10" s="14" t="str">
        <x:v>Главный экран</x:v>
      </x:c>
      <x:c r="C10" s="14" t="str">
        <x:v>Раскрытие карточки новости</x:v>
      </x:c>
      <x:c r="D10" s="14" t="str">
        <x:v>На главном экране отображается хотя бы одна новость.</x:v>
      </x:c>
      <x:c r="E10" s="14" t="str">
        <x:v>1. Нажать стрелку раскрытия у новости.</x:v>
      </x:c>
      <x:c r="F10" s="14" t="str">
        <x:v>Карточка раскрывается и показывает дополнительную информацию.</x:v>
      </x:c>
      <x:c r="G10" s="14" t="str">
        <x:v>Позитивный</x:v>
      </x:c>
      <x:c r="H10" s="14" t="str">
        <x:v>Средний</x:v>
      </x:c>
      <x:c r="I10" s="14" t="str">
        <x:v>Планируется</x:v>
      </x:c>
      <x:c r="J10" s="14" t="str"/>
      <x:c r="K10" s="14" t="str">
        <x:v>Не выполнен</x:v>
      </x:c>
      <x:c r="L10" s="14" t="str">
        <x:v>MAIN-006</x:v>
      </x:c>
    </x:row>
    <x:row r="11" ht="72" customHeight="1">
      <x:c r="A11" s="14" t="str">
        <x:v>TC-010</x:v>
      </x:c>
      <x:c r="B11" s="14" t="str">
        <x:v>Главный экран</x:v>
      </x:c>
      <x:c r="C11" s="14" t="str">
        <x:v>Закрытие раскрытой карточки новости</x:v>
      </x:c>
      <x:c r="D11" s="14" t="str">
        <x:v>Карточка новости раскрыта.</x:v>
      </x:c>
      <x:c r="E11" s="14" t="str">
        <x:v>1. Повторно нажать стрелку у раскрытой новости.</x:v>
      </x:c>
      <x:c r="F11" s="14" t="str">
        <x:v>Карточка сворачивается.</x:v>
      </x:c>
      <x:c r="G11" s="14" t="str">
        <x:v>Позитивный</x:v>
      </x:c>
      <x:c r="H11" s="14" t="str">
        <x:v>Низкий</x:v>
      </x:c>
      <x:c r="I11" s="14" t="str">
        <x:v>Планируется</x:v>
      </x:c>
      <x:c r="J11" s="14" t="str"/>
      <x:c r="K11" s="14" t="str">
        <x:v>Не выполнен</x:v>
      </x:c>
      <x:c r="L11" s="14" t="str">
        <x:v>MAIN-006</x:v>
      </x:c>
    </x:row>
    <x:row r="12" ht="72" customHeight="1">
      <x:c r="A12" s="14" t="str">
        <x:v>TC-011</x:v>
      </x:c>
      <x:c r="B12" s="14" t="str">
        <x:v>Навигация</x:v>
      </x:c>
      <x:c r="C12" s="14" t="str">
        <x:v>Открытие бокового меню</x:v>
      </x:c>
      <x:c r="D12" s="14" t="str">
        <x:v>Пользователь авторизован.</x:v>
      </x:c>
      <x:c r="E12" s="14" t="str">
        <x:v>1. Нажать кнопку меню в левом верхнем углу.</x:v>
      </x:c>
      <x:c r="F12" s="14" t="str">
        <x:v>Открывается меню с пунктами Main и News.</x:v>
      </x:c>
      <x:c r="G12" s="14" t="str">
        <x:v>Позитивный</x:v>
      </x:c>
      <x:c r="H12" s="14" t="str">
        <x:v>Средний</x:v>
      </x:c>
      <x:c r="I12" s="14" t="str">
        <x:v>Планируется</x:v>
      </x:c>
      <x:c r="J12" s="14" t="str"/>
      <x:c r="K12" s="14" t="str">
        <x:v>Пройден</x:v>
      </x:c>
      <x:c r="L12" s="14" t="str">
        <x:v>NAV-001</x:v>
      </x:c>
    </x:row>
    <x:row r="13" ht="72" customHeight="1">
      <x:c r="A13" s="14" t="str">
        <x:v>TC-012</x:v>
      </x:c>
      <x:c r="B13" s="14" t="str">
        <x:v>Навигация</x:v>
      </x:c>
      <x:c r="C13" s="14" t="str">
        <x:v>Переход в раздел News через боковое меню</x:v>
      </x:c>
      <x:c r="D13" s="14" t="str">
        <x:v>Боковое меню открыто.</x:v>
      </x:c>
      <x:c r="E13" s="14" t="str">
        <x:v>1. Нажать News.</x:v>
      </x:c>
      <x:c r="F13" s="14" t="str">
        <x:v>Открывается экран News.</x:v>
      </x:c>
      <x:c r="G13" s="14" t="str">
        <x:v>Позитивный</x:v>
      </x:c>
      <x:c r="H13" s="14" t="str">
        <x:v>Высокий</x:v>
      </x:c>
      <x:c r="I13" s="14" t="str">
        <x:v>Планируется</x:v>
      </x:c>
      <x:c r="J13" s="14" t="str"/>
      <x:c r="K13" s="14" t="str">
        <x:v>Пройден</x:v>
      </x:c>
      <x:c r="L13" s="14" t="str">
        <x:v>NAV-003</x:v>
      </x:c>
    </x:row>
    <x:row r="14" ht="72" customHeight="1">
      <x:c r="A14" s="14" t="str">
        <x:v>TC-013</x:v>
      </x:c>
      <x:c r="B14" s="14" t="str">
        <x:v>Навигация</x:v>
      </x:c>
      <x:c r="C14" s="14" t="str">
        <x:v>Переход на Main через боковое меню</x:v>
      </x:c>
      <x:c r="D14" s="14" t="str">
        <x:v>Пользователь находится не на главном экране.</x:v>
      </x:c>
      <x:c r="E14" s="14" t="str">
        <x:v>1. Открыть боковое меню.
2. Нажать Main.</x:v>
      </x:c>
      <x:c r="F14" s="14" t="str">
        <x:v>Открывается главный экран.</x:v>
      </x:c>
      <x:c r="G14" s="14" t="str">
        <x:v>Позитивный</x:v>
      </x:c>
      <x:c r="H14" s="14" t="str">
        <x:v>Средний</x:v>
      </x:c>
      <x:c r="I14" s="14" t="str">
        <x:v>Планируется</x:v>
      </x:c>
      <x:c r="J14" s="14" t="str"/>
      <x:c r="K14" s="14" t="str">
        <x:v>Не выполнен</x:v>
      </x:c>
      <x:c r="L14" s="14" t="str">
        <x:v>NAV-002</x:v>
      </x:c>
    </x:row>
    <x:row r="15" ht="72" customHeight="1">
      <x:c r="A15" s="14" t="str">
        <x:v>TC-014</x:v>
      </x:c>
      <x:c r="B15" s="14" t="str">
        <x:v>Навигация</x:v>
      </x:c>
      <x:c r="C15" s="14" t="str">
        <x:v>Переход в раздел Love is all</x:v>
      </x:c>
      <x:c r="D15" s="14" t="str">
        <x:v>Пользователь авторизован.</x:v>
      </x:c>
      <x:c r="E15" s="14" t="str">
        <x:v>1. Нажать значок тематических цитат в верхнем меню.</x:v>
      </x:c>
      <x:c r="F15" s="14" t="str">
        <x:v>Открывается экран Love is all со списком цитат.</x:v>
      </x:c>
      <x:c r="G15" s="14" t="str">
        <x:v>Позитивный</x:v>
      </x:c>
      <x:c r="H15" s="14" t="str">
        <x:v>Средний</x:v>
      </x:c>
      <x:c r="I15" s="14" t="str">
        <x:v>Планируется</x:v>
      </x:c>
      <x:c r="J15" s="14" t="str"/>
      <x:c r="K15" s="14" t="str">
        <x:v>Пройден</x:v>
      </x:c>
      <x:c r="L15" s="14" t="str">
        <x:v>NAV-004</x:v>
      </x:c>
    </x:row>
    <x:row r="16" ht="72" customHeight="1">
      <x:c r="A16" s="14" t="str">
        <x:v>TC-015</x:v>
      </x:c>
      <x:c r="B16" s="14" t="str">
        <x:v>Новости</x:v>
      </x:c>
      <x:c r="C16" s="14" t="str">
        <x:v>Открытие полного списка новостей</x:v>
      </x:c>
      <x:c r="D16" s="14" t="str">
        <x:v>Пользователь находится на главном экране.</x:v>
      </x:c>
      <x:c r="E16" s="14" t="str">
        <x:v>1. Нажать ALL NEWS.</x:v>
      </x:c>
      <x:c r="F16" s="14" t="str">
        <x:v>Открывается экран News со списком новостей.</x:v>
      </x:c>
      <x:c r="G16" s="14" t="str">
        <x:v>Позитивный</x:v>
      </x:c>
      <x:c r="H16" s="14" t="str">
        <x:v>Высокий</x:v>
      </x:c>
      <x:c r="I16" s="14" t="str">
        <x:v>Планируется</x:v>
      </x:c>
      <x:c r="J16" s="14" t="str"/>
      <x:c r="K16" s="14" t="str">
        <x:v>Пройден</x:v>
      </x:c>
      <x:c r="L16" s="14" t="str">
        <x:v>MAIN-004</x:v>
      </x:c>
    </x:row>
    <x:row r="17" ht="72" customHeight="1">
      <x:c r="A17" s="14" t="str">
        <x:v>TC-016</x:v>
      </x:c>
      <x:c r="B17" s="14" t="str">
        <x:v>Новости</x:v>
      </x:c>
      <x:c r="C17" s="14" t="str">
        <x:v>Сортировка новостей</x:v>
      </x:c>
      <x:c r="D17" s="14" t="str">
        <x:v>Пользователь находится на экране News. В списке несколько новостей.</x:v>
      </x:c>
      <x:c r="E17" s="14" t="str">
        <x:v>1. Зафиксировать порядок новостей.
2. Нажать кнопку сортировки.</x:v>
      </x:c>
      <x:c r="F17" s="14" t="str">
        <x:v>Порядок новостей изменяется согласно выбранной сортировке.</x:v>
      </x:c>
      <x:c r="G17" s="14" t="str">
        <x:v>Позитивный</x:v>
      </x:c>
      <x:c r="H17" s="14" t="str">
        <x:v>Средний</x:v>
      </x:c>
      <x:c r="I17" s="14" t="str">
        <x:v>Планируется</x:v>
      </x:c>
      <x:c r="J17" s="14" t="str"/>
      <x:c r="K17" s="14" t="str">
        <x:v>Не выполнен</x:v>
      </x:c>
      <x:c r="L17" s="14" t="str">
        <x:v>NEWS-004</x:v>
      </x:c>
    </x:row>
    <x:row r="18" ht="72" customHeight="1">
      <x:c r="A18" s="14" t="str">
        <x:v>TC-017</x:v>
      </x:c>
      <x:c r="B18" s="14" t="str">
        <x:v>Новости</x:v>
      </x:c>
      <x:c r="C18" s="14" t="str">
        <x:v>Открытие фильтра новостей</x:v>
      </x:c>
      <x:c r="D18" s="14" t="str">
        <x:v>Пользователь находится на экране News.</x:v>
      </x:c>
      <x:c r="E18" s="14" t="str">
        <x:v>1. Нажать кнопку фильтра.</x:v>
      </x:c>
      <x:c r="F18" s="14" t="str">
        <x:v>Открывается экран Filter news.</x:v>
      </x:c>
      <x:c r="G18" s="14" t="str">
        <x:v>Позитивный</x:v>
      </x:c>
      <x:c r="H18" s="14" t="str">
        <x:v>Средний</x:v>
      </x:c>
      <x:c r="I18" s="14" t="str">
        <x:v>Планируется</x:v>
      </x:c>
      <x:c r="J18" s="14" t="str"/>
      <x:c r="K18" s="14" t="str">
        <x:v>Пройден</x:v>
      </x:c>
      <x:c r="L18" s="14" t="str">
        <x:v>NEWS-005</x:v>
      </x:c>
    </x:row>
    <x:row r="19" ht="72" customHeight="1">
      <x:c r="A19" s="14" t="str">
        <x:v>TC-018</x:v>
      </x:c>
      <x:c r="B19" s="14" t="str">
        <x:v>Фильтр новостей</x:v>
      </x:c>
      <x:c r="C19" s="14" t="str">
        <x:v>Фильтрация по категории</x:v>
      </x:c>
      <x:c r="D19" s="14" t="str">
        <x:v>Открыт экран Filter news.</x:v>
      </x:c>
      <x:c r="E19" s="14" t="str">
        <x:v>1. Выбрать категорию.
2. Нажать FILTER.</x:v>
      </x:c>
      <x:c r="F19" s="14" t="str">
        <x:v>В списке отображаются новости выбранной категории.</x:v>
      </x:c>
      <x:c r="G19" s="14" t="str">
        <x:v>Позитивный</x:v>
      </x:c>
      <x:c r="H19" s="14" t="str">
        <x:v>Высокий</x:v>
      </x:c>
      <x:c r="I19" s="14" t="str">
        <x:v>Планируется</x:v>
      </x:c>
      <x:c r="J19" s="14" t="str"/>
      <x:c r="K19" s="14" t="str">
        <x:v>Не выполнен</x:v>
      </x:c>
      <x:c r="L19" s="14" t="str">
        <x:v>FILTER-002</x:v>
      </x:c>
    </x:row>
    <x:row r="20" ht="72" customHeight="1">
      <x:c r="A20" s="14" t="str">
        <x:v>TC-019</x:v>
      </x:c>
      <x:c r="B20" s="14" t="str">
        <x:v>Фильтр новостей</x:v>
      </x:c>
      <x:c r="C20" s="14" t="str">
        <x:v>Фильтрация по диапазону дат</x:v>
      </x:c>
      <x:c r="D20" s="14" t="str">
        <x:v>Открыт экран Filter news.</x:v>
      </x:c>
      <x:c r="E20" s="14" t="str">
        <x:v>1. Указать начальную дату.
2. Указать конечную дату.
3. Нажать FILTER.</x:v>
      </x:c>
      <x:c r="F20" s="14" t="str">
        <x:v>Отображаются новости, соответствующие заданному диапазону дат.</x:v>
      </x:c>
      <x:c r="G20" s="14" t="str">
        <x:v>Позитивный</x:v>
      </x:c>
      <x:c r="H20" s="14" t="str">
        <x:v>Высокий</x:v>
      </x:c>
      <x:c r="I20" s="14" t="str">
        <x:v>Планируется</x:v>
      </x:c>
      <x:c r="J20" s="14" t="str"/>
      <x:c r="K20" s="14" t="str">
        <x:v>Не выполнен</x:v>
      </x:c>
      <x:c r="L20" s="14" t="str">
        <x:v>FILTER-003</x:v>
      </x:c>
    </x:row>
    <x:row r="21" ht="72" customHeight="1">
      <x:c r="A21" s="14" t="str">
        <x:v>TC-020</x:v>
      </x:c>
      <x:c r="B21" s="14" t="str">
        <x:v>Фильтр новостей</x:v>
      </x:c>
      <x:c r="C21" s="14" t="str">
        <x:v>Фильтрация только активных новостей</x:v>
      </x:c>
      <x:c r="D21" s="14" t="str">
        <x:v>Открыт экран Filter news.</x:v>
      </x:c>
      <x:c r="E21" s="14" t="str">
        <x:v>1. Оставить выбранным только Active.
2. Нажать FILTER.</x:v>
      </x:c>
      <x:c r="F21" s="14" t="str">
        <x:v>Отображаются только активные новости.</x:v>
      </x:c>
      <x:c r="G21" s="14" t="str">
        <x:v>Позитивный</x:v>
      </x:c>
      <x:c r="H21" s="14" t="str">
        <x:v>Средний</x:v>
      </x:c>
      <x:c r="I21" s="14" t="str">
        <x:v>Планируется</x:v>
      </x:c>
      <x:c r="J21" s="14" t="str"/>
      <x:c r="K21" s="14" t="str">
        <x:v>Не выполнен</x:v>
      </x:c>
      <x:c r="L21" s="14" t="str">
        <x:v>FILTER-004</x:v>
      </x:c>
    </x:row>
    <x:row r="22" ht="72" customHeight="1">
      <x:c r="A22" s="14" t="str">
        <x:v>TC-021</x:v>
      </x:c>
      <x:c r="B22" s="14" t="str">
        <x:v>Фильтр новостей</x:v>
      </x:c>
      <x:c r="C22" s="14" t="str">
        <x:v>Фильтрация только неактивных новостей</x:v>
      </x:c>
      <x:c r="D22" s="14" t="str">
        <x:v>Открыт экран Filter news.</x:v>
      </x:c>
      <x:c r="E22" s="14" t="str">
        <x:v>1. Оставить выбранным только Not active.
2. Нажать FILTER.</x:v>
      </x:c>
      <x:c r="F22" s="14" t="str">
        <x:v>Отображаются только неактивные новости.</x:v>
      </x:c>
      <x:c r="G22" s="14" t="str">
        <x:v>Позитивный</x:v>
      </x:c>
      <x:c r="H22" s="14" t="str">
        <x:v>Средний</x:v>
      </x:c>
      <x:c r="I22" s="14" t="str">
        <x:v>Планируется</x:v>
      </x:c>
      <x:c r="J22" s="14" t="str"/>
      <x:c r="K22" s="14" t="str">
        <x:v>Не выполнен</x:v>
      </x:c>
      <x:c r="L22" s="14" t="str">
        <x:v>FILTER-005</x:v>
      </x:c>
    </x:row>
    <x:row r="23" ht="72" customHeight="1">
      <x:c r="A23" s="14" t="str">
        <x:v>TC-022</x:v>
      </x:c>
      <x:c r="B23" s="14" t="str">
        <x:v>Фильтр новостей</x:v>
      </x:c>
      <x:c r="C23" s="14" t="str">
        <x:v>Фильтрация по нескольким параметрам</x:v>
      </x:c>
      <x:c r="D23" s="14" t="str">
        <x:v>Открыт экран Filter news.</x:v>
      </x:c>
      <x:c r="E23" s="14" t="str">
        <x:v>1. Выбрать категорию.
2. Указать диапазон дат.
3. Выбрать статус.
4. Нажать FILTER.</x:v>
      </x:c>
      <x:c r="F23" s="14" t="str">
        <x:v>Отображаются только новости, одновременно соответствующие заданным параметрам.</x:v>
      </x:c>
      <x:c r="G23" s="14" t="str">
        <x:v>Позитивный</x:v>
      </x:c>
      <x:c r="H23" s="14" t="str">
        <x:v>Средний</x:v>
      </x:c>
      <x:c r="I23" s="14" t="str">
        <x:v>Планируется</x:v>
      </x:c>
      <x:c r="J23" s="14" t="str"/>
      <x:c r="K23" s="14" t="str">
        <x:v>Не выполнен</x:v>
      </x:c>
      <x:c r="L23" s="14" t="str">
        <x:v>FILTER-007</x:v>
      </x:c>
    </x:row>
    <x:row r="24" ht="72" customHeight="1">
      <x:c r="A24" s="14" t="str">
        <x:v>TC-023</x:v>
      </x:c>
      <x:c r="B24" s="14" t="str">
        <x:v>Фильтр новостей</x:v>
      </x:c>
      <x:c r="C24" s="14" t="str">
        <x:v>Отмена фильтрации</x:v>
      </x:c>
      <x:c r="D24" s="14" t="str">
        <x:v>Открыт экран Filter news.</x:v>
      </x:c>
      <x:c r="E24" s="14" t="str">
        <x:v>1. Изменить параметры фильтра.
2. Нажать CANCEL.</x:v>
      </x:c>
      <x:c r="F24" s="14" t="str">
        <x:v>Экран фильтра закрывается. Новые параметры не применяются.</x:v>
      </x:c>
      <x:c r="G24" s="14" t="str">
        <x:v>Позитивный</x:v>
      </x:c>
      <x:c r="H24" s="14" t="str">
        <x:v>Средний</x:v>
      </x:c>
      <x:c r="I24" s="14" t="str">
        <x:v>Планируется</x:v>
      </x:c>
      <x:c r="J24" s="14" t="str"/>
      <x:c r="K24" s="14" t="str">
        <x:v>Не выполнен</x:v>
      </x:c>
      <x:c r="L24" s="14" t="str">
        <x:v>FILTER-008</x:v>
      </x:c>
    </x:row>
    <x:row r="25" ht="72" customHeight="1">
      <x:c r="A25" s="14" t="str">
        <x:v>TC-024</x:v>
      </x:c>
      <x:c r="B25" s="14" t="str">
        <x:v>Панель управления</x:v>
      </x:c>
      <x:c r="C25" s="14" t="str">
        <x:v>Открытие панели управления новостями</x:v>
      </x:c>
      <x:c r="D25" s="14" t="str">
        <x:v>Пользователь находится на экране News.</x:v>
      </x:c>
      <x:c r="E25" s="14" t="str">
        <x:v>1. Нажать кнопку перехода в Control panel.</x:v>
      </x:c>
      <x:c r="F25" s="14" t="str">
        <x:v>Открывается Control panel со списком новостей и элементами управления.</x:v>
      </x:c>
      <x:c r="G25" s="14" t="str">
        <x:v>Позитивный</x:v>
      </x:c>
      <x:c r="H25" s="14" t="str">
        <x:v>Высокий</x:v>
      </x:c>
      <x:c r="I25" s="14" t="str">
        <x:v>Планируется</x:v>
      </x:c>
      <x:c r="J25" s="14" t="str"/>
      <x:c r="K25" s="14" t="str">
        <x:v>Пройден</x:v>
      </x:c>
      <x:c r="L25" s="14" t="str">
        <x:v>NEWS-006; CTRL-001</x:v>
      </x:c>
    </x:row>
    <x:row r="26" ht="72" customHeight="1">
      <x:c r="A26" s="14" t="str">
        <x:v>TC-025</x:v>
      </x:c>
      <x:c r="B26" s="14" t="str">
        <x:v>Панель управления</x:v>
      </x:c>
      <x:c r="C26" s="14" t="str">
        <x:v>Отображение данных карточки новости</x:v>
      </x:c>
      <x:c r="D26" s="14" t="str">
        <x:v>Открыта Control panel.</x:v>
      </x:c>
      <x:c r="E26" s="14" t="str">
        <x:v>1. Проверить карточку новости.</x:v>
      </x:c>
      <x:c r="F26" s="14" t="str">
        <x:v>Для новости отображаются название, дата публикации, дата создания, автор, статус и доступные действия.</x:v>
      </x:c>
      <x:c r="G26" s="14" t="str">
        <x:v>Позитивный</x:v>
      </x:c>
      <x:c r="H26" s="14" t="str">
        <x:v>Средний</x:v>
      </x:c>
      <x:c r="I26" s="14" t="str">
        <x:v>Нет</x:v>
      </x:c>
      <x:c r="J26" s="14" t="str">
        <x:v>Визуальная проверка состава и расположения данных удобнее выполняется вручную.</x:v>
      </x:c>
      <x:c r="K26" s="14" t="str">
        <x:v>Пройден</x:v>
      </x:c>
      <x:c r="L26" s="14" t="str">
        <x:v>CTRL-002</x:v>
      </x:c>
    </x:row>
    <x:row r="27" ht="72" customHeight="1">
      <x:c r="A27" s="14" t="str">
        <x:v>TC-026</x:v>
      </x:c>
      <x:c r="B27" s="14" t="str">
        <x:v>Панель управления</x:v>
      </x:c>
      <x:c r="C27" s="14" t="str">
        <x:v>Сортировка новостей в панели управления</x:v>
      </x:c>
      <x:c r="D27" s="14" t="str">
        <x:v>Открыта Control panel. В списке несколько новостей.</x:v>
      </x:c>
      <x:c r="E27" s="14" t="str">
        <x:v>1. Нажать кнопку сортировки.</x:v>
      </x:c>
      <x:c r="F27" s="14" t="str">
        <x:v>Порядок карточек новостей изменяется.</x:v>
      </x:c>
      <x:c r="G27" s="14" t="str">
        <x:v>Позитивный</x:v>
      </x:c>
      <x:c r="H27" s="14" t="str">
        <x:v>Средний</x:v>
      </x:c>
      <x:c r="I27" s="14" t="str">
        <x:v>Планируется</x:v>
      </x:c>
      <x:c r="J27" s="14" t="str"/>
      <x:c r="K27" s="14" t="str">
        <x:v>Не выполнен</x:v>
      </x:c>
      <x:c r="L27" s="14" t="str">
        <x:v>CTRL-005</x:v>
      </x:c>
    </x:row>
    <x:row r="28" ht="72" customHeight="1">
      <x:c r="A28" s="14" t="str">
        <x:v>TC-027</x:v>
      </x:c>
      <x:c r="B28" s="14" t="str">
        <x:v>Панель управления</x:v>
      </x:c>
      <x:c r="C28" s="14" t="str">
        <x:v>Открытие фильтра из панели управления</x:v>
      </x:c>
      <x:c r="D28" s="14" t="str">
        <x:v>Открыта Control panel.</x:v>
      </x:c>
      <x:c r="E28" s="14" t="str">
        <x:v>1. Нажать кнопку фильтра.</x:v>
      </x:c>
      <x:c r="F28" s="14" t="str">
        <x:v>Открывается экран фильтрации.</x:v>
      </x:c>
      <x:c r="G28" s="14" t="str">
        <x:v>Позитивный</x:v>
      </x:c>
      <x:c r="H28" s="14" t="str">
        <x:v>Средний</x:v>
      </x:c>
      <x:c r="I28" s="14" t="str">
        <x:v>Планируется</x:v>
      </x:c>
      <x:c r="J28" s="14" t="str"/>
      <x:c r="K28" s="14" t="str">
        <x:v>Не выполнен</x:v>
      </x:c>
      <x:c r="L28" s="14" t="str">
        <x:v>CTRL-006</x:v>
      </x:c>
    </x:row>
    <x:row r="29" ht="72" customHeight="1">
      <x:c r="A29" s="14" t="str">
        <x:v>TC-028</x:v>
      </x:c>
      <x:c r="B29" s="14" t="str">
        <x:v>Создание новости</x:v>
      </x:c>
      <x:c r="C29" s="14" t="str">
        <x:v>Открытие формы создания новости</x:v>
      </x:c>
      <x:c r="D29" s="14" t="str">
        <x:v>Открыта Control panel.</x:v>
      </x:c>
      <x:c r="E29" s="14" t="str">
        <x:v>1. Нажать кнопку +.</x:v>
      </x:c>
      <x:c r="F29" s="14" t="str">
        <x:v>Открывается форма Creating News.</x:v>
      </x:c>
      <x:c r="G29" s="14" t="str">
        <x:v>Позитивный</x:v>
      </x:c>
      <x:c r="H29" s="14" t="str">
        <x:v>Высокий</x:v>
      </x:c>
      <x:c r="I29" s="14" t="str">
        <x:v>Планируется</x:v>
      </x:c>
      <x:c r="J29" s="14" t="str"/>
      <x:c r="K29" s="14" t="str">
        <x:v>Пройден</x:v>
      </x:c>
      <x:c r="L29" s="14" t="str">
        <x:v>CTRL-003; CREATE-001</x:v>
      </x:c>
    </x:row>
    <x:row r="30" ht="72" customHeight="1">
      <x:c r="A30" s="14" t="str">
        <x:v>TC-029</x:v>
      </x:c>
      <x:c r="B30" s="14" t="str">
        <x:v>Создание новости</x:v>
      </x:c>
      <x:c r="C30" s="14" t="str">
        <x:v>Создание активной новости с корректными данными</x:v>
      </x:c>
      <x:c r="D30" s="14" t="str">
        <x:v>Открыта форма Creating News.</x:v>
      </x:c>
      <x:c r="E30" s="14" t="str">
        <x:v>1. Выбрать Category.
2. Ввести Title.
3. Указать Publication date.
4. Указать Time.
5. Ввести Description.
6. Включить Active.
7. Нажать SAVE.</x:v>
      </x:c>
      <x:c r="F30" s="14" t="str">
        <x:v>Новость сохраняется и появляется в списке с введенными данными и активным статусом.</x:v>
      </x:c>
      <x:c r="G30" s="14" t="str">
        <x:v>Позитивный</x:v>
      </x:c>
      <x:c r="H30" s="14" t="str">
        <x:v>Высокий</x:v>
      </x:c>
      <x:c r="I30" s="14" t="str">
        <x:v>Планируется</x:v>
      </x:c>
      <x:c r="J30" s="14" t="str"/>
      <x:c r="K30" s="14" t="str">
        <x:v>Не выполнен</x:v>
      </x:c>
      <x:c r="L30" s="14" t="str">
        <x:v>CREATE-002; CREATE-008</x:v>
      </x:c>
    </x:row>
    <x:row r="31" ht="72" customHeight="1">
      <x:c r="A31" s="14" t="str">
        <x:v>TC-030</x:v>
      </x:c>
      <x:c r="B31" s="14" t="str">
        <x:v>Создание новости</x:v>
      </x:c>
      <x:c r="C31" s="14" t="str">
        <x:v>Создание неактивной новости</x:v>
      </x:c>
      <x:c r="D31" s="14" t="str">
        <x:v>Открыта форма Creating News.</x:v>
      </x:c>
      <x:c r="E31" s="14" t="str">
        <x:v>1. Заполнить обязательные поля корректными данными.
2. Выключить Active.
3. Нажать SAVE.</x:v>
      </x:c>
      <x:c r="F31" s="14" t="str">
        <x:v>Новость сохраняется со статусом Not active.</x:v>
      </x:c>
      <x:c r="G31" s="14" t="str">
        <x:v>Позитивный</x:v>
      </x:c>
      <x:c r="H31" s="14" t="str">
        <x:v>Средний</x:v>
      </x:c>
      <x:c r="I31" s="14" t="str">
        <x:v>Планируется</x:v>
      </x:c>
      <x:c r="J31" s="14" t="str"/>
      <x:c r="K31" s="14" t="str">
        <x:v>Не выполнен</x:v>
      </x:c>
      <x:c r="L31" s="14" t="str">
        <x:v>CREATE-009</x:v>
      </x:c>
    </x:row>
    <x:row r="32" ht="72" customHeight="1">
      <x:c r="A32" s="14" t="str">
        <x:v>TC-031</x:v>
      </x:c>
      <x:c r="B32" s="14" t="str">
        <x:v>Создание новости</x:v>
      </x:c>
      <x:c r="C32" s="14" t="str">
        <x:v>Сохранение новости с пустыми обязательными полями</x:v>
      </x:c>
      <x:c r="D32" s="14" t="str">
        <x:v>Открыта форма Creating News.</x:v>
      </x:c>
      <x:c r="E32" s="14" t="str">
        <x:v>1. Не заполнять поля.
2. Нажать SAVE.</x:v>
      </x:c>
      <x:c r="F32" s="14" t="str">
        <x:v>Новость не сохраняется. Пользователь получает уведомление о необходимости заполнить обязательные поля.</x:v>
      </x:c>
      <x:c r="G32" s="14" t="str">
        <x:v>Негативный</x:v>
      </x:c>
      <x:c r="H32" s="14" t="str">
        <x:v>Высокий</x:v>
      </x:c>
      <x:c r="I32" s="14" t="str">
        <x:v>Планируется</x:v>
      </x:c>
      <x:c r="J32" s="14" t="str"/>
      <x:c r="K32" s="14" t="str">
        <x:v>Не выполнен</x:v>
      </x:c>
      <x:c r="L32" s="14" t="str">
        <x:v>CREATE-003; CREATE-004; CREATE-005; CREATE-006; CREATE-007</x:v>
      </x:c>
    </x:row>
    <x:row r="33" ht="72" customHeight="1">
      <x:c r="A33" s="14" t="str">
        <x:v>TC-032</x:v>
      </x:c>
      <x:c r="B33" s="14" t="str">
        <x:v>Создание новости</x:v>
      </x:c>
      <x:c r="C33" s="14" t="str">
        <x:v>Отмена создания новости</x:v>
      </x:c>
      <x:c r="D33" s="14" t="str">
        <x:v>Открыта форма Creating News.</x:v>
      </x:c>
      <x:c r="E33" s="14" t="str">
        <x:v>1. Ввести данные в одно или несколько полей.
2. Нажать CANCEL.</x:v>
      </x:c>
      <x:c r="F33" s="14" t="str">
        <x:v>Создание отменяется. Новая новость не появляется в списке.</x:v>
      </x:c>
      <x:c r="G33" s="14" t="str">
        <x:v>Позитивный</x:v>
      </x:c>
      <x:c r="H33" s="14" t="str">
        <x:v>Средний</x:v>
      </x:c>
      <x:c r="I33" s="14" t="str">
        <x:v>Планируется</x:v>
      </x:c>
      <x:c r="J33" s="14" t="str"/>
      <x:c r="K33" s="14" t="str">
        <x:v>Не выполнен</x:v>
      </x:c>
      <x:c r="L33" s="14" t="str">
        <x:v>CREATE-010</x:v>
      </x:c>
    </x:row>
    <x:row r="34" ht="72" customHeight="1">
      <x:c r="A34" s="14" t="str">
        <x:v>TC-033</x:v>
      </x:c>
      <x:c r="B34" s="14" t="str">
        <x:v>Создание новости</x:v>
      </x:c>
      <x:c r="C34" s="14" t="str">
        <x:v>Выбор категории новости</x:v>
      </x:c>
      <x:c r="D34" s="14" t="str">
        <x:v>Открыта форма Creating News.</x:v>
      </x:c>
      <x:c r="E34" s="14" t="str">
        <x:v>1. Нажать поле Category.
2. Выбрать доступную категорию.</x:v>
      </x:c>
      <x:c r="F34" s="14" t="str">
        <x:v>Выбранная категория отображается в поле Category.</x:v>
      </x:c>
      <x:c r="G34" s="14" t="str">
        <x:v>Позитивный</x:v>
      </x:c>
      <x:c r="H34" s="14" t="str">
        <x:v>Средний</x:v>
      </x:c>
      <x:c r="I34" s="14" t="str">
        <x:v>Планируется</x:v>
      </x:c>
      <x:c r="J34" s="14" t="str"/>
      <x:c r="K34" s="14" t="str">
        <x:v>Не выполнен</x:v>
      </x:c>
      <x:c r="L34" s="14" t="str">
        <x:v>—</x:v>
      </x:c>
    </x:row>
    <x:row r="35" ht="72" customHeight="1">
      <x:c r="A35" s="14" t="str">
        <x:v>TC-034</x:v>
      </x:c>
      <x:c r="B35" s="14" t="str">
        <x:v>Создание новости</x:v>
      </x:c>
      <x:c r="C35" s="14" t="str">
        <x:v>Выбор даты публикации</x:v>
      </x:c>
      <x:c r="D35" s="14" t="str">
        <x:v>Открыта форма Creating News.</x:v>
      </x:c>
      <x:c r="E35" s="14" t="str">
        <x:v>1. Нажать Publication date.
2. Выбрать дату.</x:v>
      </x:c>
      <x:c r="F35" s="14" t="str">
        <x:v>Выбранная дата отображается в поле Publication date.</x:v>
      </x:c>
      <x:c r="G35" s="14" t="str">
        <x:v>Позитивный</x:v>
      </x:c>
      <x:c r="H35" s="14" t="str">
        <x:v>Средний</x:v>
      </x:c>
      <x:c r="I35" s="14" t="str">
        <x:v>Планируется</x:v>
      </x:c>
      <x:c r="J35" s="14" t="str"/>
      <x:c r="K35" s="14" t="str">
        <x:v>Не выполнен</x:v>
      </x:c>
      <x:c r="L35" s="14" t="str">
        <x:v>—</x:v>
      </x:c>
    </x:row>
    <x:row r="36" ht="72" customHeight="1">
      <x:c r="A36" s="14" t="str">
        <x:v>TC-035</x:v>
      </x:c>
      <x:c r="B36" s="14" t="str">
        <x:v>Создание новости</x:v>
      </x:c>
      <x:c r="C36" s="14" t="str">
        <x:v>Выбор времени публикации</x:v>
      </x:c>
      <x:c r="D36" s="14" t="str">
        <x:v>Открыта форма Creating News.</x:v>
      </x:c>
      <x:c r="E36" s="14" t="str">
        <x:v>1. Нажать Time.
2. Выбрать время.</x:v>
      </x:c>
      <x:c r="F36" s="14" t="str">
        <x:v>Выбранное время отображается в поле Time.</x:v>
      </x:c>
      <x:c r="G36" s="14" t="str">
        <x:v>Позитивный</x:v>
      </x:c>
      <x:c r="H36" s="14" t="str">
        <x:v>Средний</x:v>
      </x:c>
      <x:c r="I36" s="14" t="str">
        <x:v>Планируется</x:v>
      </x:c>
      <x:c r="J36" s="14" t="str"/>
      <x:c r="K36" s="14" t="str">
        <x:v>Не выполнен</x:v>
      </x:c>
      <x:c r="L36" s="14" t="str">
        <x:v>—</x:v>
      </x:c>
    </x:row>
    <x:row r="37" ht="72" customHeight="1">
      <x:c r="A37" s="14" t="str">
        <x:v>TC-036</x:v>
      </x:c>
      <x:c r="B37" s="14" t="str">
        <x:v>Редактирование новости</x:v>
      </x:c>
      <x:c r="C37" s="14" t="str">
        <x:v>Открытие формы редактирования новости</x:v>
      </x:c>
      <x:c r="D37" s="14" t="str">
        <x:v>В Control panel есть хотя бы одна новость.</x:v>
      </x:c>
      <x:c r="E37" s="14" t="str">
        <x:v>1. Нажать кнопку редактирования у новости.</x:v>
      </x:c>
      <x:c r="F37" s="14" t="str">
        <x:v>Открывается форма редактирования выбранной новости с текущими значениями полей.</x:v>
      </x:c>
      <x:c r="G37" s="14" t="str">
        <x:v>Позитивный</x:v>
      </x:c>
      <x:c r="H37" s="14" t="str">
        <x:v>Высокий</x:v>
      </x:c>
      <x:c r="I37" s="14" t="str">
        <x:v>Планируется</x:v>
      </x:c>
      <x:c r="J37" s="14" t="str"/>
      <x:c r="K37" s="14" t="str">
        <x:v>Не выполнен</x:v>
      </x:c>
      <x:c r="L37" s="14" t="str">
        <x:v>CTRL-004; EDIT-001</x:v>
      </x:c>
    </x:row>
    <x:row r="38" ht="72" customHeight="1">
      <x:c r="A38" s="14" t="str">
        <x:v>TC-037</x:v>
      </x:c>
      <x:c r="B38" s="14" t="str">
        <x:v>Редактирование новости</x:v>
      </x:c>
      <x:c r="C38" s="14" t="str">
        <x:v>Изменение названия и описания новости</x:v>
      </x:c>
      <x:c r="D38" s="14" t="str">
        <x:v>Открыта форма редактирования существующей новости.</x:v>
      </x:c>
      <x:c r="E38" s="14" t="str">
        <x:v>1. Изменить Title.
2. Изменить Description.
3. Нажать SAVE.</x:v>
      </x:c>
      <x:c r="F38" s="14" t="str">
        <x:v>Изменения сохраняются и отображаются в выбранной новости.</x:v>
      </x:c>
      <x:c r="G38" s="14" t="str">
        <x:v>Позитивный</x:v>
      </x:c>
      <x:c r="H38" s="14" t="str">
        <x:v>Высокий</x:v>
      </x:c>
      <x:c r="I38" s="14" t="str">
        <x:v>Планируется</x:v>
      </x:c>
      <x:c r="J38" s="14" t="str"/>
      <x:c r="K38" s="14" t="str">
        <x:v>Не выполнен</x:v>
      </x:c>
      <x:c r="L38" s="14" t="str">
        <x:v>EDIT-003; EDIT-005</x:v>
      </x:c>
    </x:row>
    <x:row r="39" ht="72" customHeight="1">
      <x:c r="A39" s="14" t="str">
        <x:v>TC-038</x:v>
      </x:c>
      <x:c r="B39" s="14" t="str">
        <x:v>Редактирование новости</x:v>
      </x:c>
      <x:c r="C39" s="14" t="str">
        <x:v>Изменение статуса новости</x:v>
      </x:c>
      <x:c r="D39" s="14" t="str">
        <x:v>Открыта форма редактирования существующей новости.</x:v>
      </x:c>
      <x:c r="E39" s="14" t="str">
        <x:v>1. Изменить состояние Active.
2. Нажать SAVE.</x:v>
      </x:c>
      <x:c r="F39" s="14" t="str">
        <x:v>Новость сохраняется с новым статусом.</x:v>
      </x:c>
      <x:c r="G39" s="14" t="str">
        <x:v>Позитивный</x:v>
      </x:c>
      <x:c r="H39" s="14" t="str">
        <x:v>Средний</x:v>
      </x:c>
      <x:c r="I39" s="14" t="str">
        <x:v>Планируется</x:v>
      </x:c>
      <x:c r="J39" s="14" t="str"/>
      <x:c r="K39" s="14" t="str">
        <x:v>Не выполнен</x:v>
      </x:c>
      <x:c r="L39" s="14" t="str">
        <x:v>EDIT-006</x:v>
      </x:c>
    </x:row>
    <x:row r="40" ht="72" customHeight="1">
      <x:c r="A40" s="14" t="str">
        <x:v>TC-039</x:v>
      </x:c>
      <x:c r="B40" s="14" t="str">
        <x:v>Редактирование новости</x:v>
      </x:c>
      <x:c r="C40" s="14" t="str">
        <x:v>Отмена редактирования новости</x:v>
      </x:c>
      <x:c r="D40" s="14" t="str">
        <x:v>Открыта форма редактирования существующей новости.</x:v>
      </x:c>
      <x:c r="E40" s="14" t="str">
        <x:v>1. Изменить данные.
2. Нажать CANCEL.</x:v>
      </x:c>
      <x:c r="F40" s="14" t="str">
        <x:v>Редактирование отменяется. Исходные данные новости остаются без изменений.</x:v>
      </x:c>
      <x:c r="G40" s="14" t="str">
        <x:v>Позитивный</x:v>
      </x:c>
      <x:c r="H40" s="14" t="str">
        <x:v>Средний</x:v>
      </x:c>
      <x:c r="I40" s="14" t="str">
        <x:v>Планируется</x:v>
      </x:c>
      <x:c r="J40" s="14" t="str"/>
      <x:c r="K40" s="14" t="str">
        <x:v>Не выполнен</x:v>
      </x:c>
      <x:c r="L40" s="14" t="str">
        <x:v>EDIT-007</x:v>
      </x:c>
    </x:row>
    <x:row r="41" ht="72" customHeight="1">
      <x:c r="A41" s="14" t="str">
        <x:v>TC-040</x:v>
      </x:c>
      <x:c r="B41" s="14" t="str">
        <x:v>Удаление новости</x:v>
      </x:c>
      <x:c r="C41" s="14" t="str">
        <x:v>Удаление новости с подтверждением</x:v>
      </x:c>
      <x:c r="D41" s="14" t="str">
        <x:v>В Control panel есть тестовая новость, которую можно удалить.</x:v>
      </x:c>
      <x:c r="E41" s="14" t="str">
        <x:v>1. Нажать кнопку удаления.
2. Подтвердить удаление.</x:v>
      </x:c>
      <x:c r="F41" s="14" t="str">
        <x:v>Новость удаляется и больше не отображается в списке.</x:v>
      </x:c>
      <x:c r="G41" s="14" t="str">
        <x:v>Позитивный</x:v>
      </x:c>
      <x:c r="H41" s="14" t="str">
        <x:v>Высокий</x:v>
      </x:c>
      <x:c r="I41" s="14" t="str">
        <x:v>Планируется</x:v>
      </x:c>
      <x:c r="J41" s="14" t="str"/>
      <x:c r="K41" s="14" t="str">
        <x:v>Не выполнен</x:v>
      </x:c>
      <x:c r="L41" s="14" t="str">
        <x:v>DELETE-001; DELETE-002</x:v>
      </x:c>
    </x:row>
    <x:row r="42" ht="72" customHeight="1">
      <x:c r="A42" s="14" t="str">
        <x:v>TC-041</x:v>
      </x:c>
      <x:c r="B42" s="14" t="str">
        <x:v>Удаление новости</x:v>
      </x:c>
      <x:c r="C42" s="14" t="str">
        <x:v>Отмена удаления новости</x:v>
      </x:c>
      <x:c r="D42" s="14" t="str">
        <x:v>В Control panel есть существующая новость.</x:v>
      </x:c>
      <x:c r="E42" s="14" t="str">
        <x:v>1. Нажать кнопку удаления.
2. Отменить действие в окне подтверждения.</x:v>
      </x:c>
      <x:c r="F42" s="14" t="str">
        <x:v>Новость не удаляется и остается в списке.</x:v>
      </x:c>
      <x:c r="G42" s="14" t="str">
        <x:v>Позитивный</x:v>
      </x:c>
      <x:c r="H42" s="14" t="str">
        <x:v>Средний</x:v>
      </x:c>
      <x:c r="I42" s="14" t="str">
        <x:v>Планируется</x:v>
      </x:c>
      <x:c r="J42" s="14" t="str"/>
      <x:c r="K42" s="14" t="str">
        <x:v>Не выполнен</x:v>
      </x:c>
      <x:c r="L42" s="14" t="str">
        <x:v>DELETE-001; DELETE-003</x:v>
      </x:c>
    </x:row>
    <x:row r="43" ht="72" customHeight="1">
      <x:c r="A43" s="14" t="str">
        <x:v>TC-042</x:v>
      </x:c>
      <x:c r="B43" s="14" t="str">
        <x:v>Love is all</x:v>
      </x:c>
      <x:c r="C43" s="14" t="str">
        <x:v>Отображение списка тематических цитат</x:v>
      </x:c>
      <x:c r="D43" s="14" t="str">
        <x:v>Пользователь находится на экране Love is all.</x:v>
      </x:c>
      <x:c r="E43" s="14" t="str">
        <x:v>1. Проверить список цитат.</x:v>
      </x:c>
      <x:c r="F43" s="14" t="str">
        <x:v>Отображаются карточки тематических цитат.</x:v>
      </x:c>
      <x:c r="G43" s="14" t="str">
        <x:v>Позитивный</x:v>
      </x:c>
      <x:c r="H43" s="14" t="str">
        <x:v>Средний</x:v>
      </x:c>
      <x:c r="I43" s="14" t="str">
        <x:v>Нет</x:v>
      </x:c>
      <x:c r="J43" s="14" t="str">
        <x:v>Состав и внешний вид карточек проверяются вручную.</x:v>
      </x:c>
      <x:c r="K43" s="14" t="str">
        <x:v>Пройден</x:v>
      </x:c>
      <x:c r="L43" s="14" t="str">
        <x:v>LOVE-002</x:v>
      </x:c>
    </x:row>
    <x:row r="44" ht="72" customHeight="1">
      <x:c r="A44" s="14" t="str">
        <x:v>TC-043</x:v>
      </x:c>
      <x:c r="B44" s="14" t="str">
        <x:v>Love is all</x:v>
      </x:c>
      <x:c r="C44" s="14" t="str">
        <x:v>Раскрытие карточки цитаты</x:v>
      </x:c>
      <x:c r="D44" s="14" t="str">
        <x:v>На экране Love is all отображается хотя бы одна карточка.</x:v>
      </x:c>
      <x:c r="E44" s="14" t="str">
        <x:v>1. Нажать стрелку раскрытия карточки.</x:v>
      </x:c>
      <x:c r="F44" s="14" t="str">
        <x:v>Карточка раскрывается и показывает дополнительное содержимое, если оно предусмотрено.</x:v>
      </x:c>
      <x:c r="G44" s="14" t="str">
        <x:v>Позитивный</x:v>
      </x:c>
      <x:c r="H44" s="14" t="str">
        <x:v>Низкий</x:v>
      </x:c>
      <x:c r="I44" s="14" t="str">
        <x:v>Планируется</x:v>
      </x:c>
      <x:c r="J44" s="14" t="str"/>
      <x:c r="K44" s="14" t="str">
        <x:v>Не выполнен</x:v>
      </x:c>
      <x:c r="L44" s="14" t="str">
        <x:v>LOVE-003</x:v>
      </x:c>
    </x:row>
    <x:row r="45" ht="72" customHeight="1">
      <x:c r="A45" s="14" t="str">
        <x:v>TC-044</x:v>
      </x:c>
      <x:c r="B45" s="14" t="str">
        <x:v>Love is all</x:v>
      </x:c>
      <x:c r="C45" s="14" t="str">
        <x:v>Сворачивание карточки цитаты</x:v>
      </x:c>
      <x:c r="D45" s="14" t="str">
        <x:v>Карточка цитаты раскрыта.</x:v>
      </x:c>
      <x:c r="E45" s="14" t="str">
        <x:v>1. Повторно нажать стрелку карточки.</x:v>
      </x:c>
      <x:c r="F45" s="14" t="str">
        <x:v>Карточка сворачивается.</x:v>
      </x:c>
      <x:c r="G45" s="14" t="str">
        <x:v>Позитивный</x:v>
      </x:c>
      <x:c r="H45" s="14" t="str">
        <x:v>Низкий</x:v>
      </x:c>
      <x:c r="I45" s="14" t="str">
        <x:v>Планируется</x:v>
      </x:c>
      <x:c r="J45" s="14" t="str"/>
      <x:c r="K45" s="14" t="str">
        <x:v>Не выполнен</x:v>
      </x:c>
      <x:c r="L45" s="14" t="str">
        <x:v>LOVE-004</x:v>
      </x:c>
    </x:row>
    <x:row r="46" ht="72" customHeight="1">
      <x:c r="A46" s="14" t="str">
        <x:v>TC-045</x:v>
      </x:c>
      <x:c r="B46" s="14" t="str">
        <x:v>Love is all</x:v>
      </x:c>
      <x:c r="C46" s="14" t="str">
        <x:v>Прокрутка списка цитат</x:v>
      </x:c>
      <x:c r="D46" s="14" t="str">
        <x:v>Открыт экран Love is all.</x:v>
      </x:c>
      <x:c r="E46" s="14" t="str">
        <x:v>1. Выполнить прокрутку вниз.
2. Выполнить прокрутку вверх.</x:v>
      </x:c>
      <x:c r="F46" s="14" t="str">
        <x:v>Список плавно прокручивается, приложение не зависает и не закрывается.</x:v>
      </x:c>
      <x:c r="G46" s="14" t="str">
        <x:v>Позитивный</x:v>
      </x:c>
      <x:c r="H46" s="14" t="str">
        <x:v>Низкий</x:v>
      </x:c>
      <x:c r="I46" s="14" t="str">
        <x:v>Нет</x:v>
      </x:c>
      <x:c r="J46" s="14" t="str">
        <x:v>Плавность прокрутки и визуальное поведение оцениваются вручную.</x:v>
      </x:c>
      <x:c r="K46" s="14" t="str">
        <x:v>Не выполнен</x:v>
      </x:c>
      <x:c r="L46" s="14" t="str">
        <x:v>LOVE-005</x:v>
      </x:c>
    </x:row>
    <x:row r="47" ht="72" customHeight="1">
      <x:c r="A47" s="14" t="str">
        <x:v>TC-046</x:v>
      </x:c>
      <x:c r="B47" s="14" t="str">
        <x:v>Выход</x:v>
      </x:c>
      <x:c r="C47" s="14" t="str">
        <x:v>Открытие меню пользователя</x:v>
      </x:c>
      <x:c r="D47" s="14" t="str">
        <x:v>Пользователь авторизован.</x:v>
      </x:c>
      <x:c r="E47" s="14" t="str">
        <x:v>1. Нажать значок пользователя в правом верхнем углу.</x:v>
      </x:c>
      <x:c r="F47" s="14" t="str">
        <x:v>Открывается меню с пунктом Log out.</x:v>
      </x:c>
      <x:c r="G47" s="14" t="str">
        <x:v>Позитивный</x:v>
      </x:c>
      <x:c r="H47" s="14" t="str">
        <x:v>Средний</x:v>
      </x:c>
      <x:c r="I47" s="14" t="str">
        <x:v>Планируется</x:v>
      </x:c>
      <x:c r="J47" s="14" t="str"/>
      <x:c r="K47" s="14" t="str">
        <x:v>Пройден</x:v>
      </x:c>
      <x:c r="L47" s="14" t="str">
        <x:v>LOGOUT-001; LOGOUT-002</x:v>
      </x:c>
    </x:row>
    <x:row r="48" ht="72" customHeight="1">
      <x:c r="A48" s="14" t="str">
        <x:v>TC-047</x:v>
      </x:c>
      <x:c r="B48" s="14" t="str">
        <x:v>Выход</x:v>
      </x:c>
      <x:c r="C48" s="14" t="str">
        <x:v>Выход из учетной записи</x:v>
      </x:c>
      <x:c r="D48" s="14" t="str">
        <x:v>Пользователь авторизован, меню пользователя открыто.</x:v>
      </x:c>
      <x:c r="E48" s="14" t="str">
        <x:v>1. Нажать Log out.</x:v>
      </x:c>
      <x:c r="F48" s="14" t="str">
        <x:v>Сессия завершается. Открывается экран Authorization.</x:v>
      </x:c>
      <x:c r="G48" s="14" t="str">
        <x:v>Позитивный</x:v>
      </x:c>
      <x:c r="H48" s="14" t="str">
        <x:v>Высокий</x:v>
      </x:c>
      <x:c r="I48" s="14" t="str">
        <x:v>Планируется</x:v>
      </x:c>
      <x:c r="J48" s="14" t="str"/>
      <x:c r="K48" s="14" t="str">
        <x:v>Не выполнен</x:v>
      </x:c>
      <x:c r="L48" s="14" t="str">
        <x:v>LOGOUT-003</x:v>
      </x:c>
    </x:row>
    <x:row r="49" ht="72" customHeight="1">
      <x:c r="A49" s="14" t="str">
        <x:v>TC-048</x:v>
      </x:c>
      <x:c r="B49" s="14" t="str">
        <x:v>Интерфейс</x:v>
      </x:c>
      <x:c r="C49" s="14" t="str">
        <x:v>Отображение основных элементов без наложений на API 36</x:v>
      </x:c>
      <x:c r="D49" s="14" t="str">
        <x:v>Приложение запущено на Pixel 8, Android 16, API 36.</x:v>
      </x:c>
      <x:c r="E49" s="14" t="str">
        <x:v>1. Открыть основные экраны приложения.
2. Визуально проверить расположение элементов.</x:v>
      </x:c>
      <x:c r="F49" s="14" t="str">
        <x:v>Основные элементы отображаются полностью, текст читаем, элементы не перекрывают друг друга.</x:v>
      </x:c>
      <x:c r="G49" s="14" t="str">
        <x:v>UI</x:v>
      </x:c>
      <x:c r="H49" s="14" t="str">
        <x:v>Средний</x:v>
      </x:c>
      <x:c r="I49" s="14" t="str">
        <x:v>Нет</x:v>
      </x:c>
      <x:c r="J49" s="14" t="str">
        <x:v>Визуальные дефекты и наложения элементов надежнее оценивать вручную.</x:v>
      </x:c>
      <x:c r="K49" s="14" t="str">
        <x:v>Не выполнен</x:v>
      </x:c>
      <x:c r="L49" s="14" t="str">
        <x:v>UI-002</x:v>
      </x:c>
    </x:row>
  </x:sheetData>
  <x:conditionalFormatting sqref="K2:K49">
    <x:cfRule type="expression" dxfId="0" priority="1">
      <x:formula>K2="Пройден"</x:formula>
    </x:cfRule>
    <x:cfRule type="expression" dxfId="1" priority="2">
      <x:formula>K2="Не пройден"</x:formula>
    </x:cfRule>
    <x:cfRule type="expression" dxfId="2" priority="3">
      <x:formula>K2="Не выполнен"</x:formula>
    </x:cfRule>
  </x:conditionalFormatting>
  <x:conditionalFormatting sqref="I2:I49">
    <x:cfRule type="expression" dxfId="3" priority="4">
      <x:formula>I2="Нет"</x:formula>
    </x:cfRule>
  </x:conditionalFormatting>
  <x:conditionalFormatting sqref="L2:L49">
    <x:cfRule type="expression" dxfId="4" priority="5">
      <x:formula>L2="—"</x:formula>
    </x:cfRule>
  </x:conditionalFormatting>
  <x:dataValidations count="4">
    <x:dataValidation type="list" sqref="G2:G49">
      <x:formula1>"Позитивный,Негативный,UI"</x:formula1>
    </x:dataValidation>
    <x:dataValidation type="list" sqref="H2:H49">
      <x:formula1>"Высокий,Средний,Низкий"</x:formula1>
    </x:dataValidation>
    <x:dataValidation type="list" sqref="I2:I49">
      <x:formula1>"Да,Нет,Планируется"</x:formula1>
    </x:dataValidation>
    <x:dataValidation type="list" sqref="K2:K49">
      <x:formula1>"Пройден,Не пройден,Не выполнен"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f44d79407649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52" hidden="0" customWidth="1"/>
  </x:cols>
  <x:sheetData>
    <x:row r="1" ht="30" customHeight="1">
      <x:c r="A1" s="18" t="str">
        <x:v>Сводка по тест-кейсам</x:v>
      </x:c>
      <x:c r="B1" s="18"/>
      <x:c r="C1" s="18"/>
      <x:c r="D1" s="18"/>
    </x:row>
    <x:row r="3">
      <x:c r="A3" s="6" t="str">
        <x:v>Показатель</x:v>
      </x:c>
      <x:c r="B3" s="6" t="str">
        <x:v>Количество</x:v>
      </x:c>
      <x:c r="D3" s="14" t="str">
        <x:v>Статус «Пройден» выставлен только для проверок, которые уже были подтверждены при запуске приложения и по предоставленным скриншотам. Остальные тест-кейсы будут отмечаться по мере ручного тестирования.</x:v>
      </x:c>
    </x:row>
    <x:row r="4">
      <x:c r="A4" s="12" t="str">
        <x:v>Всего тест-кейсов</x:v>
      </x:c>
      <x:c r="B4" s="12" t="n">
        <x:f>COUNTA(Cases!A2:A49)</x:f>
        <x:v>48</x:v>
      </x:c>
      <x:c r="D4" s="14"/>
    </x:row>
    <x:row r="5">
      <x:c r="A5" s="12" t="str">
        <x:v>Пройдено</x:v>
      </x:c>
      <x:c r="B5" s="12" t="n">
        <x:f>COUNTIF(Cases!K2:K49,"Пройден")</x:f>
        <x:v>12</x:v>
      </x:c>
      <x:c r="D5" s="14"/>
    </x:row>
    <x:row r="6">
      <x:c r="A6" s="12" t="str">
        <x:v>Не пройдено</x:v>
      </x:c>
      <x:c r="B6" s="12" t="n">
        <x:f>COUNTIF(Cases!K2:K49,"Не пройден")</x:f>
        <x:v>0</x:v>
      </x:c>
      <x:c r="D6" s="14"/>
    </x:row>
    <x:row r="7">
      <x:c r="A7" s="12" t="str">
        <x:v>Не выполнено</x:v>
      </x:c>
      <x:c r="B7" s="12" t="n">
        <x:f>COUNTIF(Cases!K2:K49,"Не выполнен")</x:f>
        <x:v>36</x:v>
      </x:c>
      <x:c r="D7" s="14"/>
    </x:row>
    <x:row r="8">
      <x:c r="A8" s="12" t="str">
        <x:v>Планируется автоматизировать</x:v>
      </x:c>
      <x:c r="B8" s="12" t="n">
        <x:f>COUNTIF(Cases!I2:I49,"Планируется")</x:f>
        <x:v>44</x:v>
      </x:c>
    </x:row>
    <x:row r="9">
      <x:c r="A9" s="12" t="str">
        <x:v>Не автоматизируется</x:v>
      </x:c>
      <x:c r="B9" s="12" t="n">
        <x:f>COUNTIF(Cases!I2:I49,"Нет")</x:f>
        <x:v>4</x:v>
      </x:c>
      <x:c r="D9" s="14" t="str">
        <x:v>В Cases добавлен столбец «ID проверки чек-листа». Если один тест-кейс покрывает несколько проверок, ID указаны через точку с запятой. Знак «—» означает, что для тест-кейса пока нет отдельного пункта в Check.xlsx.</x:v>
      </x:c>
    </x:row>
    <x:row r="10">
      <x:c r="D10" s="14"/>
    </x:row>
    <x:row r="11">
      <x:c r="D11" s="14"/>
    </x:row>
    <x:row r="12">
      <x:c r="D12" s="14"/>
    </x:row>
  </x:sheetData>
  <x:mergeCells>
    <x:mergeCell ref="A1:D1"/>
    <x:mergeCell ref="D3:D7"/>
    <x:mergeCell ref="D9:D12"/>
  </x:mergeCells>
  <x:pageMargins left="0.7" right="0.7" top="0.75" bottom="0.75" header="0.3" footer="0.3"/>
</x:worksheet>
</file>