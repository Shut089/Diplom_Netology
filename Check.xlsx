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9043e91dea3474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heck" sheetId="1" r:id="R3a674d164a5640b9"/>
    <x:sheet xmlns:r="http://schemas.openxmlformats.org/officeDocument/2006/relationships" name="Сводка" sheetId="2" r:id="R3442b8e201304db9"/>
    <x:sheet xmlns:r="http://schemas.openxmlformats.org/officeDocument/2006/relationships" name="Справочники" sheetId="3" r:id="R6bd11ae9dbb2414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FF"/>
      <x:name val="Carlito"/>
    </x:font>
    <x:font>
      <x:b/>
      <x:sz val="11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0F766E"/>
      </x:patternFill>
    </x:fill>
    <x:fill>
      <x:patternFill patternType="solid">
        <x:fgColor rgb="FF134E4A"/>
      </x:patternFill>
    </x:fill>
    <x:fill>
      <x:patternFill patternType="solid">
        <x:fgColor rgb="FFDCFCE7"/>
      </x:patternFill>
    </x:fill>
    <x:fill>
      <x:patternFill patternType="solid">
        <x:fgColor rgb="FFFEE2E2"/>
      </x:patternFill>
    </x:fill>
    <x:fill>
      <x:patternFill patternType="solid">
        <x:fgColor rgb="FFFEF3C7"/>
      </x:patternFill>
    </x:fill>
  </x:fills>
  <x:borders count="2">
    <x:border/>
    <x:border/>
  </x:borders>
  <x:cellStyleXfs count="1">
    <x:xf numFmtId="0" fontId="0" fillId="0" borderId="0"/>
  </x:cellStyleXfs>
  <x:cellXfs count="3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0" fillId="3" borderId="1" xfId="0" applyNumberFormat="1" applyFont="1" applyFill="1" applyBorder="1"/>
    <x:xf numFmtId="0" fontId="1" fillId="3" borderId="1" xfId="0" applyNumberFormat="1" applyFont="1" applyFill="1" applyBorder="1"/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0" fillId="4" borderId="0" xfId="0" applyNumberFormat="1" applyFont="1" applyFill="1" applyBorder="1"/>
    <x:xf numFmtId="0" fontId="0" fillId="4" borderId="1" xfId="0" applyNumberFormat="1" applyFont="1" applyFill="1" applyBorder="1"/>
    <x:xf numFmtId="0" fontId="0" fillId="5" borderId="0" xfId="0" applyNumberFormat="1" applyFont="1" applyFill="1" applyBorder="1"/>
    <x:xf numFmtId="0" fontId="0" fillId="5" borderId="1" xfId="0" applyNumberFormat="1" applyFont="1" applyFill="1" applyBorder="1"/>
    <x:xf numFmtId="0" fontId="0" fillId="6" borderId="0" xfId="0" applyNumberFormat="1" applyFont="1" applyFill="1" applyBorder="1"/>
    <x:xf numFmtId="0" fontId="0" fillId="6" borderId="1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 applyAlignment="1">
      <x:alignment wrapText="1"/>
    </x:xf>
    <x:xf numFmtId="0" fontId="0" fillId="6" borderId="0" xfId="0" applyNumberFormat="1" applyFont="1" applyFill="1" applyBorder="1" applyAlignment="1">
      <x:alignment wrapText="1"/>
    </x:xf>
  </x:cellXfs>
  <x:cellStyles count="1">
    <x:cellStyle name="Normal" xfId="0"/>
  </x:cellStyles>
  <x:dxfs count="6">
    <x:dxf>
      <x:font>
        <x:color rgb="FF166534"/>
      </x:font>
      <x:fill>
        <x:patternFill patternType="solid">
          <x:bgColor rgb="FFDCFCE7"/>
        </x:patternFill>
      </x:fill>
    </x:dxf>
    <x:dxf>
      <x:font>
        <x:color rgb="FF991B1B"/>
      </x:font>
      <x:fill>
        <x:patternFill patternType="solid">
          <x:bgColor rgb="FFFEE2E2"/>
        </x:patternFill>
      </x:fill>
    </x:dxf>
    <x:dxf>
      <x:font>
        <x:color rgb="FF92400E"/>
      </x:font>
      <x:fill>
        <x:patternFill patternType="solid">
          <x:bgColor rgb="FFFEF3C7"/>
        </x:patternFill>
      </x:fill>
    </x:dxf>
    <x:dxf>
      <x:fill>
        <x:patternFill patternType="solid">
          <x:bgColor rgb="FFDBEAFE"/>
        </x:patternFill>
      </x:fill>
    </x:dxf>
    <x:dxf>
      <x:fill>
        <x:patternFill patternType="solid">
          <x:bgColor rgb="FFF3F4F6"/>
        </x:patternFill>
      </x:fill>
    </x:dxf>
    <x:dxf>
      <x:fill>
        <x:patternFill patternType="solid">
          <x:bgColor rgb="FFEDE9FE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441d4179a874b50" /><Relationship Type="http://schemas.openxmlformats.org/officeDocument/2006/relationships/theme" Target="/xl/theme/theme1.xml" Id="Rf8680b841ede4c0b" /><Relationship Type="http://schemas.openxmlformats.org/officeDocument/2006/relationships/sharedStrings" Target="/xl/sharedStrings.xml" Id="R658096f8cef243fc" /><Relationship Type="http://schemas.openxmlformats.org/officeDocument/2006/relationships/worksheet" Target="/xl/worksheets/sheet1.xml" Id="R3a674d164a5640b9" /><Relationship Type="http://schemas.openxmlformats.org/officeDocument/2006/relationships/worksheet" Target="/xl/worksheets/sheet2.xml" Id="R3442b8e201304db9" /><Relationship Type="http://schemas.openxmlformats.org/officeDocument/2006/relationships/worksheet" Target="/xl/worksheets/sheet3.xml" Id="R6bd11ae9dbb2414d" /></Relationships>
</file>

<file path=xl/tables/table1.xml><?xml version="1.0" encoding="utf-8"?>
<x:table xmlns:x="http://schemas.openxmlformats.org/spreadsheetml/2006/main" id="1" name="CheckTable" displayName="CheckTable" ref="A1:G76" headerRowCount="1" totalsRowCount="0" totalsRowShown="0">
  <x:tableColumns count="7">
    <x:tableColumn id="1" name="ID"/>
    <x:tableColumn id="2" name="Раздел"/>
    <x:tableColumn id="3" name="Проверка"/>
    <x:tableColumn id="4" name="Ожидаемый результат"/>
    <x:tableColumn id="5" name="Статус"/>
    <x:tableColumn id="6" name="Автоматизация"/>
    <x:tableColumn id="7" name="Комментарий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c1c15b30fd2485c" /></Relationships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2" hidden="0" customWidth="1"/>
    <x:col min="3" max="3" width="42" hidden="0" customWidth="1"/>
    <x:col min="4" max="4" width="48" hidden="0" customWidth="1"/>
    <x:col min="5" max="5" width="16" hidden="0" customWidth="1"/>
    <x:col min="6" max="6" width="16" hidden="0" customWidth="1"/>
    <x:col min="7" max="7" width="34" hidden="0" customWidth="1"/>
  </x:cols>
  <x:sheetData>
    <x:row r="1" ht="28" customHeight="1">
      <x:c r="A1" s="5" t="str">
        <x:v>ID</x:v>
      </x:c>
      <x:c r="B1" s="5" t="str">
        <x:v>Раздел</x:v>
      </x:c>
      <x:c r="C1" s="5" t="str">
        <x:v>Проверка</x:v>
      </x:c>
      <x:c r="D1" s="5" t="str">
        <x:v>Ожидаемый результат</x:v>
      </x:c>
      <x:c r="E1" s="5" t="str">
        <x:v>Статус</x:v>
      </x:c>
      <x:c r="F1" s="5" t="str">
        <x:v>Автоматизация</x:v>
      </x:c>
      <x:c r="G1" s="5" t="str">
        <x:v>Комментарий</x:v>
      </x:c>
    </x:row>
    <x:row r="2">
      <x:c r="A2" s="12" t="str">
        <x:v>AUTH-001</x:v>
      </x:c>
      <x:c r="B2" s="12" t="str">
        <x:v>Авторизация</x:v>
      </x:c>
      <x:c r="C2" s="12" t="str">
        <x:v>Вход с корректными данными login2 / password2</x:v>
      </x:c>
      <x:c r="D2" s="12" t="str">
        <x:v>Пользователь успешно авторизован, открыт главный экран</x:v>
      </x:c>
      <x:c r="E2" s="12" t="str">
        <x:v>Пройден</x:v>
      </x:c>
      <x:c r="F2" s="12" t="str">
        <x:v>Да</x:v>
      </x:c>
      <x:c r="G2" s="12" t="str">
        <x:v>Проверено на Pixel 8, Android 16, API 36</x:v>
      </x:c>
    </x:row>
    <x:row r="3">
      <x:c r="A3" s="12" t="str">
        <x:v>AUTH-002</x:v>
      </x:c>
      <x:c r="B3" s="12" t="str">
        <x:v>Авторизация</x:v>
      </x:c>
      <x:c r="C3" s="12" t="str">
        <x:v>Вход с неверным логином и корректным паролем</x:v>
      </x:c>
      <x:c r="D3" s="12" t="str">
        <x:v>Авторизация не выполняется, пользователь остается на экране входа</x:v>
      </x:c>
      <x:c r="E3" s="12" t="str">
        <x:v>Не проверено</x:v>
      </x:c>
      <x:c r="F3" s="12" t="str">
        <x:v>Да</x:v>
      </x:c>
      <x:c r="G3" s="12" t="str"/>
    </x:row>
    <x:row r="4">
      <x:c r="A4" s="12" t="str">
        <x:v>AUTH-003</x:v>
      </x:c>
      <x:c r="B4" s="12" t="str">
        <x:v>Авторизация</x:v>
      </x:c>
      <x:c r="C4" s="12" t="str">
        <x:v>Вход с корректным логином и неверным паролем</x:v>
      </x:c>
      <x:c r="D4" s="12" t="str">
        <x:v>Авторизация не выполняется, пользователь остается на экране входа</x:v>
      </x:c>
      <x:c r="E4" s="12" t="str">
        <x:v>Не проверено</x:v>
      </x:c>
      <x:c r="F4" s="12" t="str">
        <x:v>Да</x:v>
      </x:c>
      <x:c r="G4" s="12" t="str"/>
    </x:row>
    <x:row r="5">
      <x:c r="A5" s="12" t="str">
        <x:v>AUTH-004</x:v>
      </x:c>
      <x:c r="B5" s="12" t="str">
        <x:v>Авторизация</x:v>
      </x:c>
      <x:c r="C5" s="12" t="str">
        <x:v>Вход с неверными логином и паролем</x:v>
      </x:c>
      <x:c r="D5" s="12" t="str">
        <x:v>Авторизация не выполняется</x:v>
      </x:c>
      <x:c r="E5" s="12" t="str">
        <x:v>Не проверено</x:v>
      </x:c>
      <x:c r="F5" s="12" t="str">
        <x:v>Да</x:v>
      </x:c>
      <x:c r="G5" s="12" t="str"/>
    </x:row>
    <x:row r="6">
      <x:c r="A6" s="12" t="str">
        <x:v>AUTH-005</x:v>
      </x:c>
      <x:c r="B6" s="12" t="str">
        <x:v>Авторизация</x:v>
      </x:c>
      <x:c r="C6" s="12" t="str">
        <x:v>Вход с пустым логином</x:v>
      </x:c>
      <x:c r="D6" s="12" t="str">
        <x:v>Отображается сообщение об ошибке, вход не выполняется</x:v>
      </x:c>
      <x:c r="E6" s="12" t="str">
        <x:v>Не проверено</x:v>
      </x:c>
      <x:c r="F6" s="12" t="str">
        <x:v>Да</x:v>
      </x:c>
      <x:c r="G6" s="12" t="str"/>
    </x:row>
    <x:row r="7">
      <x:c r="A7" s="12" t="str">
        <x:v>AUTH-006</x:v>
      </x:c>
      <x:c r="B7" s="12" t="str">
        <x:v>Авторизация</x:v>
      </x:c>
      <x:c r="C7" s="12" t="str">
        <x:v>Вход с пустым паролем</x:v>
      </x:c>
      <x:c r="D7" s="12" t="str">
        <x:v>Отображается сообщение об ошибке, вход не выполняется</x:v>
      </x:c>
      <x:c r="E7" s="12" t="str">
        <x:v>Не проверено</x:v>
      </x:c>
      <x:c r="F7" s="12" t="str">
        <x:v>Да</x:v>
      </x:c>
      <x:c r="G7" s="12" t="str"/>
    </x:row>
    <x:row r="8">
      <x:c r="A8" s="12" t="str">
        <x:v>AUTH-007</x:v>
      </x:c>
      <x:c r="B8" s="12" t="str">
        <x:v>Авторизация</x:v>
      </x:c>
      <x:c r="C8" s="12" t="str">
        <x:v>Вход с пустыми полями</x:v>
      </x:c>
      <x:c r="D8" s="12" t="str">
        <x:v>Отображается сообщение об ошибке, вход не выполняется</x:v>
      </x:c>
      <x:c r="E8" s="12" t="str">
        <x:v>Не проверено</x:v>
      </x:c>
      <x:c r="F8" s="12" t="str">
        <x:v>Да</x:v>
      </x:c>
      <x:c r="G8" s="12" t="str"/>
    </x:row>
    <x:row r="9">
      <x:c r="A9" s="12" t="str">
        <x:v>AUTH-008</x:v>
      </x:c>
      <x:c r="B9" s="12" t="str">
        <x:v>Авторизация</x:v>
      </x:c>
      <x:c r="C9" s="12" t="str">
        <x:v>Проверка пробелов в начале и конце логина</x:v>
      </x:c>
      <x:c r="D9" s="12" t="str">
        <x:v>Приложение корректно обрабатывает введенные данные, не происходит аварийного завершения</x:v>
      </x:c>
      <x:c r="E9" s="12" t="str">
        <x:v>Не проверено</x:v>
      </x:c>
      <x:c r="F9" s="12" t="str">
        <x:v>Планируется</x:v>
      </x:c>
      <x:c r="G9" s="12" t="str"/>
    </x:row>
    <x:row r="10">
      <x:c r="A10" s="12" t="str">
        <x:v>AUTH-009</x:v>
      </x:c>
      <x:c r="B10" s="12" t="str">
        <x:v>Авторизация</x:v>
      </x:c>
      <x:c r="C10" s="12" t="str">
        <x:v>Многократное нажатие SIGN IN</x:v>
      </x:c>
      <x:c r="D10" s="12" t="str">
        <x:v>Приложение не зависает и не открывает несколько одинаковых экранов</x:v>
      </x:c>
      <x:c r="E10" s="12" t="str">
        <x:v>Не проверено</x:v>
      </x:c>
      <x:c r="F10" s="12" t="str">
        <x:v>Нет</x:v>
      </x:c>
      <x:c r="G10" s="12" t="str">
        <x:v>Ручная проверка поведения интерфейса</x:v>
      </x:c>
    </x:row>
    <x:row r="11">
      <x:c r="A11" s="12" t="str">
        <x:v>MAIN-001</x:v>
      </x:c>
      <x:c r="B11" s="12" t="str">
        <x:v>Главный экран</x:v>
      </x:c>
      <x:c r="C11" s="12" t="str">
        <x:v>Открытие главного экрана после успешной авторизации</x:v>
      </x:c>
      <x:c r="D11" s="12" t="str">
        <x:v>Главный экран отображается без ошибок</x:v>
      </x:c>
      <x:c r="E11" s="12" t="str">
        <x:v>Пройден</x:v>
      </x:c>
      <x:c r="F11" s="12" t="str">
        <x:v>Да</x:v>
      </x:c>
      <x:c r="G11" s="12" t="str"/>
    </x:row>
    <x:row r="12">
      <x:c r="A12" s="12" t="str">
        <x:v>MAIN-002</x:v>
      </x:c>
      <x:c r="B12" s="12" t="str">
        <x:v>Главный экран</x:v>
      </x:c>
      <x:c r="C12" s="12" t="str">
        <x:v>Отображение блока News</x:v>
      </x:c>
      <x:c r="D12" s="12" t="str">
        <x:v>Блок News отображается на главном экране</x:v>
      </x:c>
      <x:c r="E12" s="12" t="str">
        <x:v>Пройден</x:v>
      </x:c>
      <x:c r="F12" s="12" t="str">
        <x:v>Да</x:v>
      </x:c>
      <x:c r="G12" s="12" t="str"/>
    </x:row>
    <x:row r="13">
      <x:c r="A13" s="12" t="str">
        <x:v>MAIN-003</x:v>
      </x:c>
      <x:c r="B13" s="12" t="str">
        <x:v>Главный экран</x:v>
      </x:c>
      <x:c r="C13" s="12" t="str">
        <x:v>Отображение списка новостей в блоке News</x:v>
      </x:c>
      <x:c r="D13" s="12" t="str">
        <x:v>Карточки новостей отображаются с названием и датой</x:v>
      </x:c>
      <x:c r="E13" s="12" t="str">
        <x:v>Пройден</x:v>
      </x:c>
      <x:c r="F13" s="12" t="str">
        <x:v>Да</x:v>
      </x:c>
      <x:c r="G13" s="12" t="str"/>
    </x:row>
    <x:row r="14">
      <x:c r="A14" s="12" t="str">
        <x:v>MAIN-004</x:v>
      </x:c>
      <x:c r="B14" s="12" t="str">
        <x:v>Главный экран</x:v>
      </x:c>
      <x:c r="C14" s="12" t="str">
        <x:v>Переход по кнопке ALL NEWS</x:v>
      </x:c>
      <x:c r="D14" s="12" t="str">
        <x:v>Открывается экран News</x:v>
      </x:c>
      <x:c r="E14" s="12" t="str">
        <x:v>Пройден</x:v>
      </x:c>
      <x:c r="F14" s="12" t="str">
        <x:v>Да</x:v>
      </x:c>
      <x:c r="G14" s="12" t="str"/>
    </x:row>
    <x:row r="15">
      <x:c r="A15" s="12" t="str">
        <x:v>MAIN-005</x:v>
      </x:c>
      <x:c r="B15" s="12" t="str">
        <x:v>Главный экран</x:v>
      </x:c>
      <x:c r="C15" s="12" t="str">
        <x:v>Сворачивание и разворачивание блока News</x:v>
      </x:c>
      <x:c r="D15" s="12" t="str">
        <x:v>Блок корректно сворачивается и разворачивается</x:v>
      </x:c>
      <x:c r="E15" s="12" t="str">
        <x:v>Не проверено</x:v>
      </x:c>
      <x:c r="F15" s="12" t="str">
        <x:v>Да</x:v>
      </x:c>
      <x:c r="G15" s="12" t="str"/>
    </x:row>
    <x:row r="16">
      <x:c r="A16" s="12" t="str">
        <x:v>MAIN-006</x:v>
      </x:c>
      <x:c r="B16" s="12" t="str">
        <x:v>Главный экран</x:v>
      </x:c>
      <x:c r="C16" s="12" t="str">
        <x:v>Раскрытие карточки новости</x:v>
      </x:c>
      <x:c r="D16" s="12" t="str">
        <x:v>Отображается полное содержимое выбранной новости</x:v>
      </x:c>
      <x:c r="E16" s="12" t="str">
        <x:v>Не проверено</x:v>
      </x:c>
      <x:c r="F16" s="12" t="str">
        <x:v>Да</x:v>
      </x:c>
      <x:c r="G16" s="12" t="str"/>
    </x:row>
    <x:row r="17">
      <x:c r="A17" s="12" t="str">
        <x:v>NAV-001</x:v>
      </x:c>
      <x:c r="B17" s="12" t="str">
        <x:v>Навигация</x:v>
      </x:c>
      <x:c r="C17" s="12" t="str">
        <x:v>Открытие бокового меню</x:v>
      </x:c>
      <x:c r="D17" s="12" t="str">
        <x:v>Меню открывается и содержит пункты Main и News</x:v>
      </x:c>
      <x:c r="E17" s="12" t="str">
        <x:v>Пройден</x:v>
      </x:c>
      <x:c r="F17" s="12" t="str">
        <x:v>Да</x:v>
      </x:c>
      <x:c r="G17" s="12" t="str"/>
    </x:row>
    <x:row r="18">
      <x:c r="A18" s="12" t="str">
        <x:v>NAV-002</x:v>
      </x:c>
      <x:c r="B18" s="12" t="str">
        <x:v>Навигация</x:v>
      </x:c>
      <x:c r="C18" s="12" t="str">
        <x:v>Переход из бокового меню в Main</x:v>
      </x:c>
      <x:c r="D18" s="12" t="str">
        <x:v>Открывается главный экран</x:v>
      </x:c>
      <x:c r="E18" s="12" t="str">
        <x:v>Не проверено</x:v>
      </x:c>
      <x:c r="F18" s="12" t="str">
        <x:v>Да</x:v>
      </x:c>
      <x:c r="G18" s="12" t="str"/>
    </x:row>
    <x:row r="19">
      <x:c r="A19" s="12" t="str">
        <x:v>NAV-003</x:v>
      </x:c>
      <x:c r="B19" s="12" t="str">
        <x:v>Навигация</x:v>
      </x:c>
      <x:c r="C19" s="12" t="str">
        <x:v>Переход из бокового меню в News</x:v>
      </x:c>
      <x:c r="D19" s="12" t="str">
        <x:v>Открывается экран News</x:v>
      </x:c>
      <x:c r="E19" s="12" t="str">
        <x:v>Пройден</x:v>
      </x:c>
      <x:c r="F19" s="12" t="str">
        <x:v>Да</x:v>
      </x:c>
      <x:c r="G19" s="12" t="str"/>
    </x:row>
    <x:row r="20">
      <x:c r="A20" s="12" t="str">
        <x:v>NAV-004</x:v>
      </x:c>
      <x:c r="B20" s="12" t="str">
        <x:v>Навигация</x:v>
      </x:c>
      <x:c r="C20" s="12" t="str">
        <x:v>Переход в раздел Love is all</x:v>
      </x:c>
      <x:c r="D20" s="12" t="str">
        <x:v>Открывается экран с тематическими цитатами</x:v>
      </x:c>
      <x:c r="E20" s="12" t="str">
        <x:v>Пройден</x:v>
      </x:c>
      <x:c r="F20" s="12" t="str">
        <x:v>Да</x:v>
      </x:c>
      <x:c r="G20" s="12" t="str"/>
    </x:row>
    <x:row r="21">
      <x:c r="A21" s="12" t="str">
        <x:v>NAV-005</x:v>
      </x:c>
      <x:c r="B21" s="12" t="str">
        <x:v>Навигация</x:v>
      </x:c>
      <x:c r="C21" s="12" t="str">
        <x:v>Возврат с вложенного экрана системной кнопкой Back</x:v>
      </x:c>
      <x:c r="D21" s="12" t="str">
        <x:v>Открывается предыдущий экран, приложение не закрывается неожиданно</x:v>
      </x:c>
      <x:c r="E21" s="12" t="str">
        <x:v>Не проверено</x:v>
      </x:c>
      <x:c r="F21" s="12" t="str">
        <x:v>Планируется</x:v>
      </x:c>
      <x:c r="G21" s="12" t="str"/>
    </x:row>
    <x:row r="22">
      <x:c r="A22" s="12" t="str">
        <x:v>NAV-006</x:v>
      </x:c>
      <x:c r="B22" s="12" t="str">
        <x:v>Навигация</x:v>
      </x:c>
      <x:c r="C22" s="12" t="str">
        <x:v>Многократные переходы между основными разделами</x:v>
      </x:c>
      <x:c r="D22" s="12" t="str">
        <x:v>Навигация работает стабильно, приложение не зависает</x:v>
      </x:c>
      <x:c r="E22" s="12" t="str">
        <x:v>Не проверено</x:v>
      </x:c>
      <x:c r="F22" s="12" t="str">
        <x:v>Планируется</x:v>
      </x:c>
      <x:c r="G22" s="12" t="str"/>
    </x:row>
    <x:row r="23">
      <x:c r="A23" s="12" t="str">
        <x:v>NEWS-001</x:v>
      </x:c>
      <x:c r="B23" s="12" t="str">
        <x:v>Новости</x:v>
      </x:c>
      <x:c r="C23" s="12" t="str">
        <x:v>Отображение списка новостей</x:v>
      </x:c>
      <x:c r="D23" s="12" t="str">
        <x:v>Список новостей отображается без ошибок</x:v>
      </x:c>
      <x:c r="E23" s="12" t="str">
        <x:v>Пройден</x:v>
      </x:c>
      <x:c r="F23" s="12" t="str">
        <x:v>Да</x:v>
      </x:c>
      <x:c r="G23" s="12" t="str"/>
    </x:row>
    <x:row r="24">
      <x:c r="A24" s="12" t="str">
        <x:v>NEWS-002</x:v>
      </x:c>
      <x:c r="B24" s="12" t="str">
        <x:v>Новости</x:v>
      </x:c>
      <x:c r="C24" s="12" t="str">
        <x:v>Раскрытие карточки новости</x:v>
      </x:c>
      <x:c r="D24" s="12" t="str">
        <x:v>Отображается описание выбранной новости</x:v>
      </x:c>
      <x:c r="E24" s="12" t="str">
        <x:v>Не проверено</x:v>
      </x:c>
      <x:c r="F24" s="12" t="str">
        <x:v>Да</x:v>
      </x:c>
      <x:c r="G24" s="12" t="str"/>
    </x:row>
    <x:row r="25">
      <x:c r="A25" s="12" t="str">
        <x:v>NEWS-003</x:v>
      </x:c>
      <x:c r="B25" s="12" t="str">
        <x:v>Новости</x:v>
      </x:c>
      <x:c r="C25" s="12" t="str">
        <x:v>Закрытие раскрытой карточки новости</x:v>
      </x:c>
      <x:c r="D25" s="12" t="str">
        <x:v>Описание скрывается, карточка возвращается в свернутое состояние</x:v>
      </x:c>
      <x:c r="E25" s="12" t="str">
        <x:v>Не проверено</x:v>
      </x:c>
      <x:c r="F25" s="12" t="str">
        <x:v>Да</x:v>
      </x:c>
      <x:c r="G25" s="12" t="str"/>
    </x:row>
    <x:row r="26">
      <x:c r="A26" s="12" t="str">
        <x:v>NEWS-004</x:v>
      </x:c>
      <x:c r="B26" s="12" t="str">
        <x:v>Новости</x:v>
      </x:c>
      <x:c r="C26" s="12" t="str">
        <x:v>Сортировка списка новостей</x:v>
      </x:c>
      <x:c r="D26" s="12" t="str">
        <x:v>Порядок новостей изменяется в соответствии с выбранной сортировкой</x:v>
      </x:c>
      <x:c r="E26" s="12" t="str">
        <x:v>Не проверено</x:v>
      </x:c>
      <x:c r="F26" s="12" t="str">
        <x:v>Да</x:v>
      </x:c>
      <x:c r="G26" s="12" t="str"/>
    </x:row>
    <x:row r="27">
      <x:c r="A27" s="12" t="str">
        <x:v>NEWS-005</x:v>
      </x:c>
      <x:c r="B27" s="12" t="str">
        <x:v>Новости</x:v>
      </x:c>
      <x:c r="C27" s="12" t="str">
        <x:v>Открытие фильтра новостей</x:v>
      </x:c>
      <x:c r="D27" s="12" t="str">
        <x:v>Открывается экран Filter news</x:v>
      </x:c>
      <x:c r="E27" s="12" t="str">
        <x:v>Пройден</x:v>
      </x:c>
      <x:c r="F27" s="12" t="str">
        <x:v>Да</x:v>
      </x:c>
      <x:c r="G27" s="12" t="str"/>
    </x:row>
    <x:row r="28">
      <x:c r="A28" s="12" t="str">
        <x:v>NEWS-006</x:v>
      </x:c>
      <x:c r="B28" s="12" t="str">
        <x:v>Новости</x:v>
      </x:c>
      <x:c r="C28" s="12" t="str">
        <x:v>Открытие панели управления новостями</x:v>
      </x:c>
      <x:c r="D28" s="12" t="str">
        <x:v>Открывается Control panel</x:v>
      </x:c>
      <x:c r="E28" s="12" t="str">
        <x:v>Пройден</x:v>
      </x:c>
      <x:c r="F28" s="12" t="str">
        <x:v>Да</x:v>
      </x:c>
      <x:c r="G28" s="12" t="str"/>
    </x:row>
    <x:row r="29">
      <x:c r="A29" s="12" t="str">
        <x:v>NEWS-007</x:v>
      </x:c>
      <x:c r="B29" s="12" t="str">
        <x:v>Новости</x:v>
      </x:c>
      <x:c r="C29" s="12" t="str">
        <x:v>Прокрутка длинного списка новостей</x:v>
      </x:c>
      <x:c r="D29" s="12" t="str">
        <x:v>Список прокручивается плавно, элементы отображаются корректно</x:v>
      </x:c>
      <x:c r="E29" s="12" t="str">
        <x:v>Не проверено</x:v>
      </x:c>
      <x:c r="F29" s="12" t="str">
        <x:v>Нет</x:v>
      </x:c>
      <x:c r="G29" s="12" t="str">
        <x:v>Ручная UI-проверка</x:v>
      </x:c>
    </x:row>
    <x:row r="30">
      <x:c r="A30" s="12" t="str">
        <x:v>FILTER-001</x:v>
      </x:c>
      <x:c r="B30" s="12" t="str">
        <x:v>Фильтрация</x:v>
      </x:c>
      <x:c r="C30" s="12" t="str">
        <x:v>Отображение экрана Filter news</x:v>
      </x:c>
      <x:c r="D30" s="12" t="str">
        <x:v>Отображаются Category, две даты, Active, Not active, FILTER и CANCEL</x:v>
      </x:c>
      <x:c r="E30" s="12" t="str">
        <x:v>Пройден</x:v>
      </x:c>
      <x:c r="F30" s="12" t="str">
        <x:v>Да</x:v>
      </x:c>
      <x:c r="G30" s="12" t="str"/>
    </x:row>
    <x:row r="31">
      <x:c r="A31" s="12" t="str">
        <x:v>FILTER-002</x:v>
      </x:c>
      <x:c r="B31" s="12" t="str">
        <x:v>Фильтрация</x:v>
      </x:c>
      <x:c r="C31" s="12" t="str">
        <x:v>Фильтрация по категории</x:v>
      </x:c>
      <x:c r="D31" s="12" t="str">
        <x:v>В списке остаются новости выбранной категории</x:v>
      </x:c>
      <x:c r="E31" s="12" t="str">
        <x:v>Не проверено</x:v>
      </x:c>
      <x:c r="F31" s="12" t="str">
        <x:v>Да</x:v>
      </x:c>
      <x:c r="G31" s="12" t="str"/>
    </x:row>
    <x:row r="32">
      <x:c r="A32" s="12" t="str">
        <x:v>FILTER-003</x:v>
      </x:c>
      <x:c r="B32" s="12" t="str">
        <x:v>Фильтрация</x:v>
      </x:c>
      <x:c r="C32" s="12" t="str">
        <x:v>Фильтрация по диапазону дат</x:v>
      </x:c>
      <x:c r="D32" s="12" t="str">
        <x:v>Отображаются новости, соответствующие выбранному диапазону</x:v>
      </x:c>
      <x:c r="E32" s="12" t="str">
        <x:v>Не проверено</x:v>
      </x:c>
      <x:c r="F32" s="12" t="str">
        <x:v>Да</x:v>
      </x:c>
      <x:c r="G32" s="12" t="str"/>
    </x:row>
    <x:row r="33">
      <x:c r="A33" s="12" t="str">
        <x:v>FILTER-004</x:v>
      </x:c>
      <x:c r="B33" s="12" t="str">
        <x:v>Фильтрация</x:v>
      </x:c>
      <x:c r="C33" s="12" t="str">
        <x:v>Фильтрация только Active</x:v>
      </x:c>
      <x:c r="D33" s="12" t="str">
        <x:v>Отображаются только активные новости</x:v>
      </x:c>
      <x:c r="E33" s="12" t="str">
        <x:v>Не проверено</x:v>
      </x:c>
      <x:c r="F33" s="12" t="str">
        <x:v>Да</x:v>
      </x:c>
      <x:c r="G33" s="12" t="str"/>
    </x:row>
    <x:row r="34">
      <x:c r="A34" s="12" t="str">
        <x:v>FILTER-005</x:v>
      </x:c>
      <x:c r="B34" s="12" t="str">
        <x:v>Фильтрация</x:v>
      </x:c>
      <x:c r="C34" s="12" t="str">
        <x:v>Фильтрация только Not active</x:v>
      </x:c>
      <x:c r="D34" s="12" t="str">
        <x:v>Отображаются только неактивные новости</x:v>
      </x:c>
      <x:c r="E34" s="12" t="str">
        <x:v>Не проверено</x:v>
      </x:c>
      <x:c r="F34" s="12" t="str">
        <x:v>Да</x:v>
      </x:c>
      <x:c r="G34" s="12" t="str"/>
    </x:row>
    <x:row r="35">
      <x:c r="A35" s="12" t="str">
        <x:v>FILTER-006</x:v>
      </x:c>
      <x:c r="B35" s="12" t="str">
        <x:v>Фильтрация</x:v>
      </x:c>
      <x:c r="C35" s="12" t="str">
        <x:v>Фильтрация Active и Not active одновременно</x:v>
      </x:c>
      <x:c r="D35" s="12" t="str">
        <x:v>Фильтр корректно обрабатывает выбор обоих статусов</x:v>
      </x:c>
      <x:c r="E35" s="12" t="str">
        <x:v>Не проверено</x:v>
      </x:c>
      <x:c r="F35" s="12" t="str">
        <x:v>Планируется</x:v>
      </x:c>
      <x:c r="G35" s="12" t="str"/>
    </x:row>
    <x:row r="36">
      <x:c r="A36" s="12" t="str">
        <x:v>FILTER-007</x:v>
      </x:c>
      <x:c r="B36" s="12" t="str">
        <x:v>Фильтрация</x:v>
      </x:c>
      <x:c r="C36" s="12" t="str">
        <x:v>Совместный фильтр по категории, датам и статусу</x:v>
      </x:c>
      <x:c r="D36" s="12" t="str">
        <x:v>Отображаются только новости, подходящие под все выбранные параметры</x:v>
      </x:c>
      <x:c r="E36" s="12" t="str">
        <x:v>Не проверено</x:v>
      </x:c>
      <x:c r="F36" s="12" t="str">
        <x:v>Планируется</x:v>
      </x:c>
      <x:c r="G36" s="12" t="str"/>
    </x:row>
    <x:row r="37">
      <x:c r="A37" s="12" t="str">
        <x:v>FILTER-008</x:v>
      </x:c>
      <x:c r="B37" s="12" t="str">
        <x:v>Фильтрация</x:v>
      </x:c>
      <x:c r="C37" s="12" t="str">
        <x:v>Нажатие CANCEL</x:v>
      </x:c>
      <x:c r="D37" s="12" t="str">
        <x:v>Фильтр закрывается без применения изменений</x:v>
      </x:c>
      <x:c r="E37" s="12" t="str">
        <x:v>Не проверено</x:v>
      </x:c>
      <x:c r="F37" s="12" t="str">
        <x:v>Да</x:v>
      </x:c>
      <x:c r="G37" s="12" t="str"/>
    </x:row>
    <x:row r="38">
      <x:c r="A38" s="12" t="str">
        <x:v>FILTER-009</x:v>
      </x:c>
      <x:c r="B38" s="12" t="str">
        <x:v>Фильтрация</x:v>
      </x:c>
      <x:c r="C38" s="12" t="str">
        <x:v>Некорректный диапазон дат: дата начала позже даты окончания</x:v>
      </x:c>
      <x:c r="D38" s="12" t="str">
        <x:v>Приложение не падает, некорректный диапазон обрабатывается</x:v>
      </x:c>
      <x:c r="E38" s="12" t="str">
        <x:v>Не проверено</x:v>
      </x:c>
      <x:c r="F38" s="12" t="str">
        <x:v>Планируется</x:v>
      </x:c>
      <x:c r="G38" s="12" t="str"/>
    </x:row>
    <x:row r="39">
      <x:c r="A39" s="12" t="str">
        <x:v>CTRL-001</x:v>
      </x:c>
      <x:c r="B39" s="12" t="str">
        <x:v>Панель управления</x:v>
      </x:c>
      <x:c r="C39" s="12" t="str">
        <x:v>Открытие Control panel</x:v>
      </x:c>
      <x:c r="D39" s="12" t="str">
        <x:v>Панель управления новостями открывается</x:v>
      </x:c>
      <x:c r="E39" s="12" t="str">
        <x:v>Пройден</x:v>
      </x:c>
      <x:c r="F39" s="12" t="str">
        <x:v>Да</x:v>
      </x:c>
      <x:c r="G39" s="12" t="str"/>
    </x:row>
    <x:row r="40">
      <x:c r="A40" s="12" t="str">
        <x:v>CTRL-002</x:v>
      </x:c>
      <x:c r="B40" s="12" t="str">
        <x:v>Панель управления</x:v>
      </x:c>
      <x:c r="C40" s="12" t="str">
        <x:v>Отображение карточек новостей</x:v>
      </x:c>
      <x:c r="D40" s="12" t="str">
        <x:v>Карточки содержат название, дату публикации, дату создания, автора и статус</x:v>
      </x:c>
      <x:c r="E40" s="12" t="str">
        <x:v>Пройден</x:v>
      </x:c>
      <x:c r="F40" s="12" t="str">
        <x:v>Да</x:v>
      </x:c>
      <x:c r="G40" s="12" t="str"/>
    </x:row>
    <x:row r="41">
      <x:c r="A41" s="12" t="str">
        <x:v>CTRL-003</x:v>
      </x:c>
      <x:c r="B41" s="12" t="str">
        <x:v>Панель управления</x:v>
      </x:c>
      <x:c r="C41" s="12" t="str">
        <x:v>Открытие формы создания новости кнопкой +</x:v>
      </x:c>
      <x:c r="D41" s="12" t="str">
        <x:v>Открывается экран Creating News</x:v>
      </x:c>
      <x:c r="E41" s="12" t="str">
        <x:v>Пройден</x:v>
      </x:c>
      <x:c r="F41" s="12" t="str">
        <x:v>Да</x:v>
      </x:c>
      <x:c r="G41" s="12" t="str"/>
    </x:row>
    <x:row r="42">
      <x:c r="A42" s="12" t="str">
        <x:v>CTRL-004</x:v>
      </x:c>
      <x:c r="B42" s="12" t="str">
        <x:v>Панель управления</x:v>
      </x:c>
      <x:c r="C42" s="12" t="str">
        <x:v>Открытие формы редактирования новости</x:v>
      </x:c>
      <x:c r="D42" s="12" t="str">
        <x:v>Открывается форма с данными выбранной новости</x:v>
      </x:c>
      <x:c r="E42" s="12" t="str">
        <x:v>Не проверено</x:v>
      </x:c>
      <x:c r="F42" s="12" t="str">
        <x:v>Да</x:v>
      </x:c>
      <x:c r="G42" s="12" t="str"/>
    </x:row>
    <x:row r="43">
      <x:c r="A43" s="12" t="str">
        <x:v>CTRL-005</x:v>
      </x:c>
      <x:c r="B43" s="12" t="str">
        <x:v>Панель управления</x:v>
      </x:c>
      <x:c r="C43" s="12" t="str">
        <x:v>Сортировка новостей в Control panel</x:v>
      </x:c>
      <x:c r="D43" s="12" t="str">
        <x:v>Порядок карточек меняется</x:v>
      </x:c>
      <x:c r="E43" s="12" t="str">
        <x:v>Не проверено</x:v>
      </x:c>
      <x:c r="F43" s="12" t="str">
        <x:v>Да</x:v>
      </x:c>
      <x:c r="G43" s="12" t="str"/>
    </x:row>
    <x:row r="44">
      <x:c r="A44" s="12" t="str">
        <x:v>CTRL-006</x:v>
      </x:c>
      <x:c r="B44" s="12" t="str">
        <x:v>Панель управления</x:v>
      </x:c>
      <x:c r="C44" s="12" t="str">
        <x:v>Открытие фильтра из Control panel</x:v>
      </x:c>
      <x:c r="D44" s="12" t="str">
        <x:v>Открывается экран фильтрации</x:v>
      </x:c>
      <x:c r="E44" s="12" t="str">
        <x:v>Не проверено</x:v>
      </x:c>
      <x:c r="F44" s="12" t="str">
        <x:v>Да</x:v>
      </x:c>
      <x:c r="G44" s="12" t="str"/>
    </x:row>
    <x:row r="45">
      <x:c r="A45" s="12" t="str">
        <x:v>CREATE-001</x:v>
      </x:c>
      <x:c r="B45" s="12" t="str">
        <x:v>Создание новости</x:v>
      </x:c>
      <x:c r="C45" s="12" t="str">
        <x:v>Отображение формы Creating News</x:v>
      </x:c>
      <x:c r="D45" s="12" t="str">
        <x:v>Отображаются Category, Title, Publication date, Time, Description, Active, SAVE и CANCEL</x:v>
      </x:c>
      <x:c r="E45" s="12" t="str">
        <x:v>Пройден</x:v>
      </x:c>
      <x:c r="F45" s="12" t="str">
        <x:v>Да</x:v>
      </x:c>
      <x:c r="G45" s="12" t="str"/>
    </x:row>
    <x:row r="46">
      <x:c r="A46" s="12" t="str">
        <x:v>CREATE-002</x:v>
      </x:c>
      <x:c r="B46" s="12" t="str">
        <x:v>Создание новости</x:v>
      </x:c>
      <x:c r="C46" s="12" t="str">
        <x:v>Создание новости с корректными данными</x:v>
      </x:c>
      <x:c r="D46" s="12" t="str">
        <x:v>Новость сохраняется и отображается в списке</x:v>
      </x:c>
      <x:c r="E46" s="12" t="str">
        <x:v>Не проверено</x:v>
      </x:c>
      <x:c r="F46" s="12" t="str">
        <x:v>Да</x:v>
      </x:c>
      <x:c r="G46" s="12" t="str"/>
    </x:row>
    <x:row r="47">
      <x:c r="A47" s="12" t="str">
        <x:v>CREATE-003</x:v>
      </x:c>
      <x:c r="B47" s="12" t="str">
        <x:v>Создание новости</x:v>
      </x:c>
      <x:c r="C47" s="12" t="str">
        <x:v>Сохранение без выбора Category</x:v>
      </x:c>
      <x:c r="D47" s="12" t="str">
        <x:v>Новость не сохраняется, обязательное поле отмечается ошибкой</x:v>
      </x:c>
      <x:c r="E47" s="12" t="str">
        <x:v>Не проверено</x:v>
      </x:c>
      <x:c r="F47" s="12" t="str">
        <x:v>Да</x:v>
      </x:c>
      <x:c r="G47" s="12" t="str"/>
    </x:row>
    <x:row r="48">
      <x:c r="A48" s="12" t="str">
        <x:v>CREATE-004</x:v>
      </x:c>
      <x:c r="B48" s="12" t="str">
        <x:v>Создание новости</x:v>
      </x:c>
      <x:c r="C48" s="12" t="str">
        <x:v>Сохранение без Title</x:v>
      </x:c>
      <x:c r="D48" s="12" t="str">
        <x:v>Новость не сохраняется, обязательное поле отмечается ошибкой</x:v>
      </x:c>
      <x:c r="E48" s="12" t="str">
        <x:v>Не проверено</x:v>
      </x:c>
      <x:c r="F48" s="12" t="str">
        <x:v>Да</x:v>
      </x:c>
      <x:c r="G48" s="12" t="str"/>
    </x:row>
    <x:row r="49">
      <x:c r="A49" s="12" t="str">
        <x:v>CREATE-005</x:v>
      </x:c>
      <x:c r="B49" s="12" t="str">
        <x:v>Создание новости</x:v>
      </x:c>
      <x:c r="C49" s="12" t="str">
        <x:v>Сохранение без Publication date</x:v>
      </x:c>
      <x:c r="D49" s="12" t="str">
        <x:v>Новость не сохраняется, обязательное поле отмечается ошибкой</x:v>
      </x:c>
      <x:c r="E49" s="12" t="str">
        <x:v>Не проверено</x:v>
      </x:c>
      <x:c r="F49" s="12" t="str">
        <x:v>Да</x:v>
      </x:c>
      <x:c r="G49" s="12" t="str"/>
    </x:row>
    <x:row r="50">
      <x:c r="A50" s="12" t="str">
        <x:v>CREATE-006</x:v>
      </x:c>
      <x:c r="B50" s="12" t="str">
        <x:v>Создание новости</x:v>
      </x:c>
      <x:c r="C50" s="12" t="str">
        <x:v>Сохранение без Time</x:v>
      </x:c>
      <x:c r="D50" s="12" t="str">
        <x:v>Новость не сохраняется, обязательное поле отмечается ошибкой</x:v>
      </x:c>
      <x:c r="E50" s="12" t="str">
        <x:v>Не проверено</x:v>
      </x:c>
      <x:c r="F50" s="12" t="str">
        <x:v>Да</x:v>
      </x:c>
      <x:c r="G50" s="12" t="str"/>
    </x:row>
    <x:row r="51">
      <x:c r="A51" s="12" t="str">
        <x:v>CREATE-007</x:v>
      </x:c>
      <x:c r="B51" s="12" t="str">
        <x:v>Создание новости</x:v>
      </x:c>
      <x:c r="C51" s="12" t="str">
        <x:v>Сохранение без Description</x:v>
      </x:c>
      <x:c r="D51" s="12" t="str">
        <x:v>Новость не сохраняется, обязательное поле отмечается ошибкой</x:v>
      </x:c>
      <x:c r="E51" s="12" t="str">
        <x:v>Не проверено</x:v>
      </x:c>
      <x:c r="F51" s="12" t="str">
        <x:v>Да</x:v>
      </x:c>
      <x:c r="G51" s="12" t="str"/>
    </x:row>
    <x:row r="52">
      <x:c r="A52" s="12" t="str">
        <x:v>CREATE-008</x:v>
      </x:c>
      <x:c r="B52" s="12" t="str">
        <x:v>Создание новости</x:v>
      </x:c>
      <x:c r="C52" s="12" t="str">
        <x:v>Создание активной новости</x:v>
      </x:c>
      <x:c r="D52" s="12" t="str">
        <x:v>Новость создается со статусом Active</x:v>
      </x:c>
      <x:c r="E52" s="12" t="str">
        <x:v>Не проверено</x:v>
      </x:c>
      <x:c r="F52" s="12" t="str">
        <x:v>Да</x:v>
      </x:c>
      <x:c r="G52" s="12" t="str"/>
    </x:row>
    <x:row r="53">
      <x:c r="A53" s="12" t="str">
        <x:v>CREATE-009</x:v>
      </x:c>
      <x:c r="B53" s="12" t="str">
        <x:v>Создание новости</x:v>
      </x:c>
      <x:c r="C53" s="12" t="str">
        <x:v>Создание неактивной новости</x:v>
      </x:c>
      <x:c r="D53" s="12" t="str">
        <x:v>Новость создается со статусом Not active</x:v>
      </x:c>
      <x:c r="E53" s="12" t="str">
        <x:v>Не проверено</x:v>
      </x:c>
      <x:c r="F53" s="12" t="str">
        <x:v>Да</x:v>
      </x:c>
      <x:c r="G53" s="12" t="str"/>
    </x:row>
    <x:row r="54">
      <x:c r="A54" s="12" t="str">
        <x:v>CREATE-010</x:v>
      </x:c>
      <x:c r="B54" s="12" t="str">
        <x:v>Создание новости</x:v>
      </x:c>
      <x:c r="C54" s="12" t="str">
        <x:v>Нажатие CANCEL после заполнения формы</x:v>
      </x:c>
      <x:c r="D54" s="12" t="str">
        <x:v>Создание отменяется, новая новость не появляется</x:v>
      </x:c>
      <x:c r="E54" s="12" t="str">
        <x:v>Не проверено</x:v>
      </x:c>
      <x:c r="F54" s="12" t="str">
        <x:v>Да</x:v>
      </x:c>
      <x:c r="G54" s="12" t="str"/>
    </x:row>
    <x:row r="55">
      <x:c r="A55" s="12" t="str">
        <x:v>EDIT-001</x:v>
      </x:c>
      <x:c r="B55" s="12" t="str">
        <x:v>Редактирование новости</x:v>
      </x:c>
      <x:c r="C55" s="12" t="str">
        <x:v>Открытие существующей новости для редактирования</x:v>
      </x:c>
      <x:c r="D55" s="12" t="str">
        <x:v>Форма открывается и содержит текущие данные новости</x:v>
      </x:c>
      <x:c r="E55" s="12" t="str">
        <x:v>Не проверено</x:v>
      </x:c>
      <x:c r="F55" s="12" t="str">
        <x:v>Да</x:v>
      </x:c>
      <x:c r="G55" s="12" t="str"/>
    </x:row>
    <x:row r="56">
      <x:c r="A56" s="12" t="str">
        <x:v>EDIT-002</x:v>
      </x:c>
      <x:c r="B56" s="12" t="str">
        <x:v>Редактирование новости</x:v>
      </x:c>
      <x:c r="C56" s="12" t="str">
        <x:v>Изменение категории</x:v>
      </x:c>
      <x:c r="D56" s="12" t="str">
        <x:v>После сохранения отображается новая категория</x:v>
      </x:c>
      <x:c r="E56" s="12" t="str">
        <x:v>Не проверено</x:v>
      </x:c>
      <x:c r="F56" s="12" t="str">
        <x:v>Планируется</x:v>
      </x:c>
      <x:c r="G56" s="12" t="str"/>
    </x:row>
    <x:row r="57">
      <x:c r="A57" s="12" t="str">
        <x:v>EDIT-003</x:v>
      </x:c>
      <x:c r="B57" s="12" t="str">
        <x:v>Редактирование новости</x:v>
      </x:c>
      <x:c r="C57" s="12" t="str">
        <x:v>Изменение названия</x:v>
      </x:c>
      <x:c r="D57" s="12" t="str">
        <x:v>После сохранения отображается новое название</x:v>
      </x:c>
      <x:c r="E57" s="12" t="str">
        <x:v>Не проверено</x:v>
      </x:c>
      <x:c r="F57" s="12" t="str">
        <x:v>Да</x:v>
      </x:c>
      <x:c r="G57" s="12" t="str"/>
    </x:row>
    <x:row r="58">
      <x:c r="A58" s="12" t="str">
        <x:v>EDIT-004</x:v>
      </x:c>
      <x:c r="B58" s="12" t="str">
        <x:v>Редактирование новости</x:v>
      </x:c>
      <x:c r="C58" s="12" t="str">
        <x:v>Изменение даты и времени публикации</x:v>
      </x:c>
      <x:c r="D58" s="12" t="str">
        <x:v>После сохранения отображаются новые дата и время</x:v>
      </x:c>
      <x:c r="E58" s="12" t="str">
        <x:v>Не проверено</x:v>
      </x:c>
      <x:c r="F58" s="12" t="str">
        <x:v>Планируется</x:v>
      </x:c>
      <x:c r="G58" s="12" t="str"/>
    </x:row>
    <x:row r="59">
      <x:c r="A59" s="12" t="str">
        <x:v>EDIT-005</x:v>
      </x:c>
      <x:c r="B59" s="12" t="str">
        <x:v>Редактирование новости</x:v>
      </x:c>
      <x:c r="C59" s="12" t="str">
        <x:v>Изменение описания</x:v>
      </x:c>
      <x:c r="D59" s="12" t="str">
        <x:v>После сохранения отображается новое описание</x:v>
      </x:c>
      <x:c r="E59" s="12" t="str">
        <x:v>Не проверено</x:v>
      </x:c>
      <x:c r="F59" s="12" t="str">
        <x:v>Да</x:v>
      </x:c>
      <x:c r="G59" s="12" t="str"/>
    </x:row>
    <x:row r="60">
      <x:c r="A60" s="12" t="str">
        <x:v>EDIT-006</x:v>
      </x:c>
      <x:c r="B60" s="12" t="str">
        <x:v>Редактирование новости</x:v>
      </x:c>
      <x:c r="C60" s="12" t="str">
        <x:v>Изменение статуса Active / Not active</x:v>
      </x:c>
      <x:c r="D60" s="12" t="str">
        <x:v>После сохранения статус изменяется</x:v>
      </x:c>
      <x:c r="E60" s="12" t="str">
        <x:v>Не проверено</x:v>
      </x:c>
      <x:c r="F60" s="12" t="str">
        <x:v>Да</x:v>
      </x:c>
      <x:c r="G60" s="12" t="str"/>
    </x:row>
    <x:row r="61">
      <x:c r="A61" s="12" t="str">
        <x:v>EDIT-007</x:v>
      </x:c>
      <x:c r="B61" s="12" t="str">
        <x:v>Редактирование новости</x:v>
      </x:c>
      <x:c r="C61" s="12" t="str">
        <x:v>Отмена редактирования</x:v>
      </x:c>
      <x:c r="D61" s="12" t="str">
        <x:v>Изменения не сохраняются</x:v>
      </x:c>
      <x:c r="E61" s="12" t="str">
        <x:v>Не проверено</x:v>
      </x:c>
      <x:c r="F61" s="12" t="str">
        <x:v>Да</x:v>
      </x:c>
      <x:c r="G61" s="12" t="str"/>
    </x:row>
    <x:row r="62">
      <x:c r="A62" s="12" t="str">
        <x:v>DELETE-001</x:v>
      </x:c>
      <x:c r="B62" s="12" t="str">
        <x:v>Удаление новости</x:v>
      </x:c>
      <x:c r="C62" s="12" t="str">
        <x:v>Нажатие кнопки удаления</x:v>
      </x:c>
      <x:c r="D62" s="12" t="str">
        <x:v>Отображается запрос подтверждения удаления</x:v>
      </x:c>
      <x:c r="E62" s="12" t="str">
        <x:v>Не проверено</x:v>
      </x:c>
      <x:c r="F62" s="12" t="str">
        <x:v>Да</x:v>
      </x:c>
      <x:c r="G62" s="12" t="str"/>
    </x:row>
    <x:row r="63">
      <x:c r="A63" s="12" t="str">
        <x:v>DELETE-002</x:v>
      </x:c>
      <x:c r="B63" s="12" t="str">
        <x:v>Удаление новости</x:v>
      </x:c>
      <x:c r="C63" s="12" t="str">
        <x:v>Подтверждение удаления</x:v>
      </x:c>
      <x:c r="D63" s="12" t="str">
        <x:v>Новость удаляется и исчезает из списка</x:v>
      </x:c>
      <x:c r="E63" s="12" t="str">
        <x:v>Не проверено</x:v>
      </x:c>
      <x:c r="F63" s="12" t="str">
        <x:v>Да</x:v>
      </x:c>
      <x:c r="G63" s="12" t="str"/>
    </x:row>
    <x:row r="64">
      <x:c r="A64" s="12" t="str">
        <x:v>DELETE-003</x:v>
      </x:c>
      <x:c r="B64" s="12" t="str">
        <x:v>Удаление новости</x:v>
      </x:c>
      <x:c r="C64" s="12" t="str">
        <x:v>Отмена удаления</x:v>
      </x:c>
      <x:c r="D64" s="12" t="str">
        <x:v>Новость остается в списке без изменений</x:v>
      </x:c>
      <x:c r="E64" s="12" t="str">
        <x:v>Не проверено</x:v>
      </x:c>
      <x:c r="F64" s="12" t="str">
        <x:v>Да</x:v>
      </x:c>
      <x:c r="G64" s="12" t="str"/>
    </x:row>
    <x:row r="65">
      <x:c r="A65" s="12" t="str">
        <x:v>LOVE-001</x:v>
      </x:c>
      <x:c r="B65" s="12" t="str">
        <x:v>Тематические цитаты</x:v>
      </x:c>
      <x:c r="C65" s="12" t="str">
        <x:v>Открытие раздела Love is all</x:v>
      </x:c>
      <x:c r="D65" s="12" t="str">
        <x:v>Раздел открывается без ошибок</x:v>
      </x:c>
      <x:c r="E65" s="12" t="str">
        <x:v>Пройден</x:v>
      </x:c>
      <x:c r="F65" s="12" t="str">
        <x:v>Да</x:v>
      </x:c>
      <x:c r="G65" s="12" t="str"/>
    </x:row>
    <x:row r="66">
      <x:c r="A66" s="12" t="str">
        <x:v>LOVE-002</x:v>
      </x:c>
      <x:c r="B66" s="12" t="str">
        <x:v>Тематические цитаты</x:v>
      </x:c>
      <x:c r="C66" s="12" t="str">
        <x:v>Отображение списка цитат</x:v>
      </x:c>
      <x:c r="D66" s="12" t="str">
        <x:v>Карточки тематических цитат отображаются</x:v>
      </x:c>
      <x:c r="E66" s="12" t="str">
        <x:v>Пройден</x:v>
      </x:c>
      <x:c r="F66" s="12" t="str">
        <x:v>Да</x:v>
      </x:c>
      <x:c r="G66" s="12" t="str"/>
    </x:row>
    <x:row r="67">
      <x:c r="A67" s="12" t="str">
        <x:v>LOVE-003</x:v>
      </x:c>
      <x:c r="B67" s="12" t="str">
        <x:v>Тематические цитаты</x:v>
      </x:c>
      <x:c r="C67" s="12" t="str">
        <x:v>Раскрытие карточки цитаты</x:v>
      </x:c>
      <x:c r="D67" s="12" t="str">
        <x:v>Карточка раскрывается и отображает содержимое</x:v>
      </x:c>
      <x:c r="E67" s="12" t="str">
        <x:v>Не проверено</x:v>
      </x:c>
      <x:c r="F67" s="12" t="str">
        <x:v>Да</x:v>
      </x:c>
      <x:c r="G67" s="12" t="str"/>
    </x:row>
    <x:row r="68">
      <x:c r="A68" s="12" t="str">
        <x:v>LOVE-004</x:v>
      </x:c>
      <x:c r="B68" s="12" t="str">
        <x:v>Тематические цитаты</x:v>
      </x:c>
      <x:c r="C68" s="12" t="str">
        <x:v>Закрытие карточки цитаты</x:v>
      </x:c>
      <x:c r="D68" s="12" t="str">
        <x:v>Карточка возвращается в свернутое состояние</x:v>
      </x:c>
      <x:c r="E68" s="12" t="str">
        <x:v>Не проверено</x:v>
      </x:c>
      <x:c r="F68" s="12" t="str">
        <x:v>Да</x:v>
      </x:c>
      <x:c r="G68" s="12" t="str"/>
    </x:row>
    <x:row r="69">
      <x:c r="A69" s="12" t="str">
        <x:v>LOVE-005</x:v>
      </x:c>
      <x:c r="B69" s="12" t="str">
        <x:v>Тематические цитаты</x:v>
      </x:c>
      <x:c r="C69" s="12" t="str">
        <x:v>Прокрутка списка цитат</x:v>
      </x:c>
      <x:c r="D69" s="12" t="str">
        <x:v>Список прокручивается, карточки отображаются корректно</x:v>
      </x:c>
      <x:c r="E69" s="12" t="str">
        <x:v>Пройден</x:v>
      </x:c>
      <x:c r="F69" s="12" t="str">
        <x:v>Нет</x:v>
      </x:c>
      <x:c r="G69" s="12" t="str">
        <x:v>Видно на экране длинного списка; детальная UI-проверка вручную</x:v>
      </x:c>
    </x:row>
    <x:row r="70">
      <x:c r="A70" s="12" t="str">
        <x:v>LOGOUT-001</x:v>
      </x:c>
      <x:c r="B70" s="12" t="str">
        <x:v>Выход</x:v>
      </x:c>
      <x:c r="C70" s="12" t="str">
        <x:v>Открытие меню пользователя</x:v>
      </x:c>
      <x:c r="D70" s="12" t="str">
        <x:v>Меню пользователя открывается</x:v>
      </x:c>
      <x:c r="E70" s="12" t="str">
        <x:v>Пройден</x:v>
      </x:c>
      <x:c r="F70" s="12" t="str">
        <x:v>Да</x:v>
      </x:c>
      <x:c r="G70" s="12" t="str"/>
    </x:row>
    <x:row r="71">
      <x:c r="A71" s="12" t="str">
        <x:v>LOGOUT-002</x:v>
      </x:c>
      <x:c r="B71" s="12" t="str">
        <x:v>Выход</x:v>
      </x:c>
      <x:c r="C71" s="12" t="str">
        <x:v>Отображение пункта Log out</x:v>
      </x:c>
      <x:c r="D71" s="12" t="str">
        <x:v>Пункт Log out доступен пользователю</x:v>
      </x:c>
      <x:c r="E71" s="12" t="str">
        <x:v>Пройден</x:v>
      </x:c>
      <x:c r="F71" s="12" t="str">
        <x:v>Да</x:v>
      </x:c>
      <x:c r="G71" s="12" t="str"/>
    </x:row>
    <x:row r="72">
      <x:c r="A72" s="12" t="str">
        <x:v>LOGOUT-003</x:v>
      </x:c>
      <x:c r="B72" s="12" t="str">
        <x:v>Выход</x:v>
      </x:c>
      <x:c r="C72" s="12" t="str">
        <x:v>Выход из учетной записи</x:v>
      </x:c>
      <x:c r="D72" s="12" t="str">
        <x:v>Пользователь выходит из системы и возвращается на экран Authorization</x:v>
      </x:c>
      <x:c r="E72" s="12" t="str">
        <x:v>Не проверено</x:v>
      </x:c>
      <x:c r="F72" s="12" t="str">
        <x:v>Да</x:v>
      </x:c>
      <x:c r="G72" s="12" t="str"/>
    </x:row>
    <x:row r="73">
      <x:c r="A73" s="12" t="str">
        <x:v>UI-001</x:v>
      </x:c>
      <x:c r="B73" s="12" t="str">
        <x:v>Общие проверки</x:v>
      </x:c>
      <x:c r="C73" s="12" t="str">
        <x:v>Запуск приложения на Android API 36</x:v>
      </x:c>
      <x:c r="D73" s="12" t="str">
        <x:v>Приложение устанавливается и запускается без ошибок</x:v>
      </x:c>
      <x:c r="E73" s="12" t="str">
        <x:v>Пройден</x:v>
      </x:c>
      <x:c r="F73" s="12" t="str">
        <x:v>Да</x:v>
      </x:c>
      <x:c r="G73" s="12" t="str"/>
    </x:row>
    <x:row r="74">
      <x:c r="A74" s="12" t="str">
        <x:v>UI-002</x:v>
      </x:c>
      <x:c r="B74" s="12" t="str">
        <x:v>Общие проверки</x:v>
      </x:c>
      <x:c r="C74" s="12" t="str">
        <x:v>Проверка основных экранов на Pixel 8 API 36</x:v>
      </x:c>
      <x:c r="D74" s="12" t="str">
        <x:v>Элементы не перекрываются и доступны для взаимодействия</x:v>
      </x:c>
      <x:c r="E74" s="12" t="str">
        <x:v>Пройден</x:v>
      </x:c>
      <x:c r="F74" s="12" t="str">
        <x:v>Нет</x:v>
      </x:c>
      <x:c r="G74" s="12" t="str">
        <x:v>Ручная визуальная проверка</x:v>
      </x:c>
    </x:row>
    <x:row r="75">
      <x:c r="A75" s="12" t="str">
        <x:v>UI-003</x:v>
      </x:c>
      <x:c r="B75" s="12" t="str">
        <x:v>Общие проверки</x:v>
      </x:c>
      <x:c r="C75" s="12" t="str">
        <x:v>Поворот экрана устройства</x:v>
      </x:c>
      <x:c r="D75" s="12" t="str">
        <x:v>Приложение корректно обрабатывает смену ориентации без потери критичных данных</x:v>
      </x:c>
      <x:c r="E75" s="12" t="str">
        <x:v>Не проверено</x:v>
      </x:c>
      <x:c r="F75" s="12" t="str">
        <x:v>Нет</x:v>
      </x:c>
      <x:c r="G75" s="12" t="str">
        <x:v>Ручная проверка, если ориентация поддерживается</x:v>
      </x:c>
    </x:row>
    <x:row r="76">
      <x:c r="A76" s="12" t="str">
        <x:v>UI-004</x:v>
      </x:c>
      <x:c r="B76" s="12" t="str">
        <x:v>Общие проверки</x:v>
      </x:c>
      <x:c r="C76" s="12" t="str">
        <x:v>Повторный запуск приложения после закрытия</x:v>
      </x:c>
      <x:c r="D76" s="12" t="str">
        <x:v>Приложение запускается без аварийного завершения</x:v>
      </x:c>
      <x:c r="E76" s="12" t="str">
        <x:v>Не проверено</x:v>
      </x:c>
      <x:c r="F76" s="12" t="str">
        <x:v>Планируется</x:v>
      </x:c>
      <x:c r="G76" s="12" t="str"/>
    </x:row>
  </x:sheetData>
  <x:conditionalFormatting sqref="E2:E76">
    <x:cfRule type="expression" dxfId="0" priority="1">
      <x:formula>E2="Пройден"</x:formula>
    </x:cfRule>
    <x:cfRule type="expression" dxfId="1" priority="2">
      <x:formula>E2="Не пройден"</x:formula>
    </x:cfRule>
    <x:cfRule type="expression" dxfId="2" priority="3">
      <x:formula>E2="Не проверено"</x:formula>
    </x:cfRule>
  </x:conditionalFormatting>
  <x:conditionalFormatting sqref="F2:F76">
    <x:cfRule type="expression" dxfId="3" priority="4">
      <x:formula>F2="Да"</x:formula>
    </x:cfRule>
    <x:cfRule type="expression" dxfId="4" priority="5">
      <x:formula>F2="Нет"</x:formula>
    </x:cfRule>
    <x:cfRule type="expression" dxfId="5" priority="6">
      <x:formula>F2="Планируется"</x:formula>
    </x:cfRule>
  </x:conditionalFormatting>
  <x:dataValidations count="2">
    <x:dataValidation type="list" sqref="E2:E76">
      <x:formula1>"Пройден,Не пройден,Не проверено"</x:formula1>
    </x:dataValidation>
    <x:dataValidation type="list" sqref="F2:F76">
      <x:formula1>"Да,Нет,Планируется"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c1c15b30fd2485c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6" hidden="0" customWidth="1"/>
    <x:col min="4" max="4" width="42" hidden="0" customWidth="1"/>
  </x:cols>
  <x:sheetData>
    <x:row r="1" ht="30" customHeight="1">
      <x:c r="A1" s="5" t="str">
        <x:v>Сводка по чек-листу дипломного проекта</x:v>
      </x:c>
      <x:c r="B1" s="5"/>
      <x:c r="C1" s="5"/>
      <x:c r="D1" s="5"/>
    </x:row>
    <x:row r="3">
      <x:c r="A3" s="15" t="str">
        <x:v>Показатель</x:v>
      </x:c>
      <x:c r="B3" s="15" t="str">
        <x:v>Значение</x:v>
      </x:c>
      <x:c r="D3" s="26" t="str">
        <x:v>Обозначения</x:v>
      </x:c>
    </x:row>
    <x:row r="4">
      <x:c r="A4" s="18" t="str">
        <x:v>Всего проверок</x:v>
      </x:c>
      <x:c r="B4" t="n">
        <x:v>75</x:v>
      </x:c>
      <x:c r="D4" s="27" t="str">
        <x:v>Пройден</x:v>
      </x:c>
    </x:row>
    <x:row r="5">
      <x:c r="A5" s="18" t="str">
        <x:v>Пройдено</x:v>
      </x:c>
      <x:c r="B5" t="n">
        <x:f>COUNTIF(Check!E2:E76,"Пройден")</x:f>
        <x:v>23</x:v>
      </x:c>
      <x:c r="D5" s="28" t="str">
        <x:v>Не пройден</x:v>
      </x:c>
    </x:row>
    <x:row r="6">
      <x:c r="A6" s="18" t="str">
        <x:v>Не пройдено</x:v>
      </x:c>
      <x:c r="B6" t="n">
        <x:f>COUNTIF(Check!E2:E76,"Не пройден")</x:f>
        <x:v>0</x:v>
      </x:c>
      <x:c r="D6" s="29" t="str">
        <x:v>Не проверено</x:v>
      </x:c>
    </x:row>
    <x:row r="7">
      <x:c r="A7" s="18" t="str">
        <x:v>Не проверено</x:v>
      </x:c>
      <x:c r="B7" t="n">
        <x:f>COUNTIF(Check!E2:E76,"Не проверено")</x:f>
        <x:v>52</x:v>
      </x:c>
      <x:c r="D7" s="10" t="str">
        <x:v>Статусы меняются через выпадающий список на листе Check</x:v>
      </x:c>
    </x:row>
    <x:row r="9">
      <x:c r="A9" s="15" t="str">
        <x:v>Автоматизация</x:v>
      </x:c>
      <x:c r="B9" s="15" t="str">
        <x:v>Количество</x:v>
      </x:c>
    </x:row>
    <x:row r="10">
      <x:c r="A10" s="18" t="str">
        <x:v>Да</x:v>
      </x:c>
      <x:c r="B10" t="n">
        <x:f>COUNTIF(Check!F2:F76,"Да")</x:f>
        <x:v>61</x:v>
      </x:c>
    </x:row>
    <x:row r="11">
      <x:c r="A11" s="18" t="str">
        <x:v>Планируется</x:v>
      </x:c>
      <x:c r="B11" t="n">
        <x:f>COUNTIF(Check!F2:F76,"Планируется")</x:f>
        <x:v>9</x:v>
      </x:c>
    </x:row>
    <x:row r="12">
      <x:c r="A12" s="18" t="str">
        <x:v>Нет</x:v>
      </x:c>
      <x:c r="B12" t="n">
        <x:f>COUNTIF(Check!F2:F76,"Нет")</x:f>
        <x:v>5</x:v>
      </x:c>
    </x:row>
    <x:row r="13">
      <x:c r="A13" s="18" t="str">
        <x:v>Всего</x:v>
      </x:c>
      <x:c r="B13" t="n">
        <x:v>75</x:v>
      </x:c>
    </x:row>
  </x:sheetData>
  <x:mergeCells>
    <x:mergeCell ref="A1:D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</x:cols>
  <x:sheetData>
    <x:row r="1">
      <x:c r="A1" s="3" t="str">
        <x:v>Статус</x:v>
      </x:c>
      <x:c r="B1" s="3" t="str">
        <x:v>Автоматизация</x:v>
      </x:c>
    </x:row>
    <x:row r="2">
      <x:c r="A2" t="str">
        <x:v>Пройден</x:v>
      </x:c>
      <x:c r="B2" t="str">
        <x:v>Да</x:v>
      </x:c>
    </x:row>
    <x:row r="3">
      <x:c r="A3" t="str">
        <x:v>Не пройден</x:v>
      </x:c>
      <x:c r="B3" t="str">
        <x:v>Нет</x:v>
      </x:c>
    </x:row>
    <x:row r="4">
      <x:c r="A4" t="str">
        <x:v>Не проверено</x:v>
      </x:c>
      <x:c r="B4" t="str">
        <x:v>Планируется</x:v>
      </x:c>
    </x:row>
  </x:sheetData>
  <x:pageMargins left="0.7" right="0.7" top="0.75" bottom="0.75" header="0.3" footer="0.3"/>
</x:worksheet>
</file>